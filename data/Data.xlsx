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-mac/Downloads/BC/"/>
    </mc:Choice>
  </mc:AlternateContent>
  <xr:revisionPtr revIDLastSave="0" documentId="13_ncr:1_{B4006E5D-2128-E542-9DB6-77541CEEFCAD}" xr6:coauthVersionLast="47" xr6:coauthVersionMax="47" xr10:uidLastSave="{00000000-0000-0000-0000-000000000000}"/>
  <bookViews>
    <workbookView xWindow="16840" yWindow="760" windowWidth="13400" windowHeight="17160" activeTab="3" xr2:uid="{23D45194-9EC1-9E4A-AA2F-47DCDF35B24B}"/>
  </bookViews>
  <sheets>
    <sheet name="Kanada" sheetId="1" r:id="rId1"/>
    <sheet name="Topoľčany" sheetId="2" r:id="rId2"/>
    <sheet name="Portugalsko " sheetId="3" r:id="rId3"/>
    <sheet name="Spracovani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8" i="1" l="1"/>
  <c r="C499" i="1"/>
  <c r="C500" i="1"/>
  <c r="C501" i="1"/>
  <c r="C502" i="1"/>
  <c r="C503" i="1"/>
  <c r="C504" i="1"/>
  <c r="C505" i="1"/>
  <c r="C506" i="1"/>
  <c r="F506" i="1" s="1"/>
  <c r="G506" i="1" s="1"/>
  <c r="C507" i="1"/>
  <c r="C508" i="1"/>
  <c r="C509" i="1"/>
  <c r="C510" i="1"/>
  <c r="C511" i="1"/>
  <c r="C512" i="1"/>
  <c r="C513" i="1"/>
  <c r="C514" i="1"/>
  <c r="C515" i="1"/>
  <c r="F515" i="1" s="1"/>
  <c r="G515" i="1" s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F551" i="1" s="1"/>
  <c r="G551" i="1" s="1"/>
  <c r="C552" i="1"/>
  <c r="F552" i="1" s="1"/>
  <c r="G552" i="1" s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F587" i="1" s="1"/>
  <c r="G587" i="1" s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49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677" i="1"/>
  <c r="C948" i="1"/>
  <c r="C949" i="1"/>
  <c r="C950" i="1"/>
  <c r="C951" i="1"/>
  <c r="C952" i="1"/>
  <c r="C953" i="1"/>
  <c r="C954" i="1"/>
  <c r="C955" i="1"/>
  <c r="C956" i="1"/>
  <c r="C957" i="1"/>
  <c r="C958" i="1"/>
  <c r="F958" i="1" s="1"/>
  <c r="G958" i="1" s="1"/>
  <c r="C959" i="1"/>
  <c r="C960" i="1"/>
  <c r="C961" i="1"/>
  <c r="C962" i="1"/>
  <c r="C963" i="1"/>
  <c r="C964" i="1"/>
  <c r="C965" i="1"/>
  <c r="C966" i="1"/>
  <c r="C967" i="1"/>
  <c r="C968" i="1"/>
  <c r="C969" i="1"/>
  <c r="C970" i="1"/>
  <c r="F970" i="1" s="1"/>
  <c r="G970" i="1" s="1"/>
  <c r="C971" i="1"/>
  <c r="C972" i="1"/>
  <c r="C973" i="1"/>
  <c r="C974" i="1"/>
  <c r="C975" i="1"/>
  <c r="C976" i="1"/>
  <c r="C977" i="1"/>
  <c r="C978" i="1"/>
  <c r="C979" i="1"/>
  <c r="C980" i="1"/>
  <c r="C981" i="1"/>
  <c r="C982" i="1"/>
  <c r="F982" i="1" s="1"/>
  <c r="G982" i="1" s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F1007" i="1" s="1"/>
  <c r="G1007" i="1" s="1"/>
  <c r="C1008" i="1"/>
  <c r="C1009" i="1"/>
  <c r="C1010" i="1"/>
  <c r="C1011" i="1"/>
  <c r="C1012" i="1"/>
  <c r="C1013" i="1"/>
  <c r="C1014" i="1"/>
  <c r="C1015" i="1"/>
  <c r="C1016" i="1"/>
  <c r="C1017" i="1"/>
  <c r="C1018" i="1"/>
  <c r="F1018" i="1" s="1"/>
  <c r="G1018" i="1" s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F1042" i="1" s="1"/>
  <c r="G1042" i="1" s="1"/>
  <c r="C1043" i="1"/>
  <c r="F1043" i="1" s="1"/>
  <c r="G1043" i="1" s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F1066" i="1" s="1"/>
  <c r="G1066" i="1" s="1"/>
  <c r="C1067" i="1"/>
  <c r="F1067" i="1" s="1"/>
  <c r="G1067" i="1" s="1"/>
  <c r="C1068" i="1"/>
  <c r="C1069" i="1"/>
  <c r="C1070" i="1"/>
  <c r="F1070" i="1" s="1"/>
  <c r="G1070" i="1" s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F1083" i="1" s="1"/>
  <c r="G1083" i="1" s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F1115" i="1" s="1"/>
  <c r="G1115" i="1" s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F1139" i="1" s="1"/>
  <c r="G1139" i="1" s="1"/>
  <c r="C1140" i="1"/>
  <c r="C1141" i="1"/>
  <c r="C1142" i="1"/>
  <c r="C1143" i="1"/>
  <c r="C1144" i="1"/>
  <c r="C1145" i="1"/>
  <c r="C1146" i="1"/>
  <c r="C1147" i="1"/>
  <c r="C1148" i="1"/>
  <c r="C1149" i="1"/>
  <c r="C1150" i="1"/>
  <c r="F1150" i="1" s="1"/>
  <c r="G1150" i="1" s="1"/>
  <c r="C1151" i="1"/>
  <c r="F1151" i="1" s="1"/>
  <c r="G1151" i="1" s="1"/>
  <c r="C1152" i="1"/>
  <c r="C1153" i="1"/>
  <c r="C1154" i="1"/>
  <c r="F1154" i="1" s="1"/>
  <c r="G1154" i="1" s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F1174" i="1" s="1"/>
  <c r="G1174" i="1" s="1"/>
  <c r="C1175" i="1"/>
  <c r="F1175" i="1" s="1"/>
  <c r="G1175" i="1" s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F1198" i="1" s="1"/>
  <c r="G1198" i="1" s="1"/>
  <c r="C1199" i="1"/>
  <c r="F1199" i="1" s="1"/>
  <c r="G1199" i="1" s="1"/>
  <c r="C1200" i="1"/>
  <c r="C1201" i="1"/>
  <c r="F1201" i="1" s="1"/>
  <c r="G1201" i="1" s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F1222" i="1" s="1"/>
  <c r="G1222" i="1" s="1"/>
  <c r="C1223" i="1"/>
  <c r="F1223" i="1" s="1"/>
  <c r="G1223" i="1" s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F1259" i="1" s="1"/>
  <c r="G1259" i="1" s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F1295" i="1" s="1"/>
  <c r="G1295" i="1" s="1"/>
  <c r="C1296" i="1"/>
  <c r="C1297" i="1"/>
  <c r="C1298" i="1"/>
  <c r="C1299" i="1"/>
  <c r="F1299" i="1" s="1"/>
  <c r="G1299" i="1" s="1"/>
  <c r="C1300" i="1"/>
  <c r="C1301" i="1"/>
  <c r="C1302" i="1"/>
  <c r="C1303" i="1"/>
  <c r="C1304" i="1"/>
  <c r="C1305" i="1"/>
  <c r="C1306" i="1"/>
  <c r="F1306" i="1" s="1"/>
  <c r="G1306" i="1" s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F1318" i="1" s="1"/>
  <c r="G1318" i="1" s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F1330" i="1" s="1"/>
  <c r="G1330" i="1" s="1"/>
  <c r="C1331" i="1"/>
  <c r="F1331" i="1" s="1"/>
  <c r="G1331" i="1" s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F1343" i="1" s="1"/>
  <c r="G1343" i="1" s="1"/>
  <c r="C1344" i="1"/>
  <c r="C1345" i="1"/>
  <c r="C1346" i="1"/>
  <c r="C1347" i="1"/>
  <c r="C1348" i="1"/>
  <c r="C1349" i="1"/>
  <c r="C1350" i="1"/>
  <c r="C1351" i="1"/>
  <c r="C1352" i="1"/>
  <c r="C1353" i="1"/>
  <c r="C1354" i="1"/>
  <c r="F1354" i="1" s="1"/>
  <c r="G1354" i="1" s="1"/>
  <c r="C1355" i="1"/>
  <c r="C1356" i="1"/>
  <c r="C1357" i="1"/>
  <c r="C1358" i="1"/>
  <c r="C1359" i="1"/>
  <c r="F1359" i="1" s="1"/>
  <c r="G1359" i="1" s="1"/>
  <c r="C1360" i="1"/>
  <c r="C1361" i="1"/>
  <c r="C1362" i="1"/>
  <c r="C1363" i="1"/>
  <c r="C1364" i="1"/>
  <c r="C1365" i="1"/>
  <c r="C1366" i="1"/>
  <c r="F1366" i="1" s="1"/>
  <c r="G1366" i="1" s="1"/>
  <c r="C1367" i="1"/>
  <c r="C1368" i="1"/>
  <c r="C1369" i="1"/>
  <c r="C1370" i="1"/>
  <c r="C1371" i="1"/>
  <c r="F1371" i="1" s="1"/>
  <c r="G1371" i="1" s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F1390" i="1" s="1"/>
  <c r="G1390" i="1" s="1"/>
  <c r="C1391" i="1"/>
  <c r="F1391" i="1" s="1"/>
  <c r="G1391" i="1" s="1"/>
  <c r="C1392" i="1"/>
  <c r="C1393" i="1"/>
  <c r="C1394" i="1"/>
  <c r="C1395" i="1"/>
  <c r="C1396" i="1"/>
  <c r="C94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F822" i="1" s="1"/>
  <c r="G822" i="1" s="1"/>
  <c r="C823" i="1"/>
  <c r="F823" i="1" s="1"/>
  <c r="G823" i="1" s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F848" i="1" s="1"/>
  <c r="G848" i="1" s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F885" i="1" s="1"/>
  <c r="G885" i="1" s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768" i="1"/>
  <c r="C769" i="1"/>
  <c r="C770" i="1"/>
  <c r="C771" i="1"/>
  <c r="C772" i="1"/>
  <c r="C773" i="1"/>
  <c r="C774" i="1"/>
  <c r="C775" i="1"/>
  <c r="C776" i="1"/>
  <c r="C777" i="1"/>
  <c r="C767" i="1"/>
  <c r="C2" i="1"/>
  <c r="F550" i="1"/>
  <c r="G550" i="1" s="1"/>
  <c r="F595" i="1"/>
  <c r="G595" i="1" s="1"/>
  <c r="F596" i="1"/>
  <c r="G596" i="1" s="1"/>
  <c r="F610" i="1"/>
  <c r="G610" i="1" s="1"/>
  <c r="F668" i="1"/>
  <c r="G668" i="1" s="1"/>
  <c r="F669" i="1"/>
  <c r="G669" i="1" s="1"/>
  <c r="F694" i="1"/>
  <c r="G694" i="1" s="1"/>
  <c r="F730" i="1"/>
  <c r="G730" i="1" s="1"/>
  <c r="F731" i="1"/>
  <c r="G731" i="1" s="1"/>
  <c r="F826" i="1"/>
  <c r="G826" i="1" s="1"/>
  <c r="F862" i="1"/>
  <c r="G862" i="1" s="1"/>
  <c r="F943" i="1"/>
  <c r="G943" i="1" s="1"/>
  <c r="F944" i="1"/>
  <c r="G944" i="1" s="1"/>
  <c r="F1044" i="1"/>
  <c r="G1044" i="1" s="1"/>
  <c r="F1081" i="1"/>
  <c r="G1081" i="1" s="1"/>
  <c r="F1091" i="1"/>
  <c r="G1091" i="1" s="1"/>
  <c r="F1176" i="1"/>
  <c r="G1176" i="1" s="1"/>
  <c r="F1200" i="1"/>
  <c r="G1200" i="1" s="1"/>
  <c r="F1242" i="1"/>
  <c r="G1242" i="1" s="1"/>
  <c r="F1291" i="1"/>
  <c r="G1291" i="1" s="1"/>
  <c r="F1292" i="1"/>
  <c r="G1292" i="1" s="1"/>
  <c r="F1350" i="1"/>
  <c r="G1350" i="1" s="1"/>
  <c r="F1351" i="1"/>
  <c r="G1351" i="1" s="1"/>
  <c r="F1326" i="1"/>
  <c r="G1326" i="1" s="1"/>
  <c r="F1021" i="1"/>
  <c r="G1021" i="1" s="1"/>
  <c r="F1022" i="1"/>
  <c r="G1022" i="1" s="1"/>
  <c r="F817" i="1"/>
  <c r="G817" i="1" s="1"/>
  <c r="F902" i="1"/>
  <c r="G902" i="1" s="1"/>
  <c r="F695" i="1"/>
  <c r="G695" i="1" s="1"/>
  <c r="F697" i="1"/>
  <c r="G697" i="1" s="1"/>
  <c r="F706" i="1"/>
  <c r="G706" i="1" s="1"/>
  <c r="F742" i="1"/>
  <c r="G742" i="1" s="1"/>
  <c r="F750" i="1"/>
  <c r="G750" i="1" s="1"/>
  <c r="F499" i="1"/>
  <c r="G499" i="1" s="1"/>
  <c r="F619" i="1"/>
  <c r="G619" i="1" s="1"/>
  <c r="F620" i="1"/>
  <c r="G620" i="1" s="1"/>
  <c r="F623" i="1"/>
  <c r="G623" i="1" s="1"/>
  <c r="F634" i="1"/>
  <c r="G634" i="1" s="1"/>
  <c r="F646" i="1"/>
  <c r="G646" i="1" s="1"/>
  <c r="F658" i="1"/>
  <c r="G658" i="1" s="1"/>
  <c r="F670" i="1"/>
  <c r="G670" i="1" s="1"/>
  <c r="F718" i="1"/>
  <c r="G718" i="1" s="1"/>
  <c r="F903" i="1"/>
  <c r="G903" i="1" s="1"/>
  <c r="F936" i="1"/>
  <c r="G936" i="1" s="1"/>
  <c r="F1344" i="1"/>
  <c r="G1344" i="1" s="1"/>
  <c r="F585" i="1"/>
  <c r="G585" i="1" s="1"/>
  <c r="F598" i="1"/>
  <c r="G598" i="1" s="1"/>
  <c r="F1271" i="1"/>
  <c r="G1271" i="1" s="1"/>
  <c r="F11" i="4"/>
  <c r="E11" i="4" s="1"/>
  <c r="C11" i="4" s="1"/>
  <c r="B11" i="4" s="1"/>
  <c r="F14" i="4"/>
  <c r="E14" i="4" s="1"/>
  <c r="C14" i="4" s="1"/>
  <c r="B14" i="4" s="1"/>
  <c r="F13" i="4"/>
  <c r="E13" i="4" s="1"/>
  <c r="C13" i="4" s="1"/>
  <c r="B13" i="4" s="1"/>
  <c r="F12" i="4"/>
  <c r="E12" i="4" s="1"/>
  <c r="C12" i="4" s="1"/>
  <c r="B12" i="4" s="1"/>
  <c r="H17" i="4"/>
  <c r="F6" i="4" s="1"/>
  <c r="E6" i="4" s="1"/>
  <c r="C6" i="4" s="1"/>
  <c r="B6" i="4" s="1"/>
  <c r="AK7" i="1"/>
  <c r="AK8" i="1"/>
  <c r="AI7" i="1"/>
  <c r="AI8" i="1"/>
  <c r="AI9" i="1"/>
  <c r="AI6" i="1"/>
  <c r="AH8" i="1"/>
  <c r="AH9" i="1"/>
  <c r="AK9" i="1" s="1"/>
  <c r="D498" i="1"/>
  <c r="D499" i="1"/>
  <c r="D500" i="1"/>
  <c r="F500" i="1" s="1"/>
  <c r="G500" i="1" s="1"/>
  <c r="D501" i="1"/>
  <c r="F501" i="1" s="1"/>
  <c r="G501" i="1" s="1"/>
  <c r="D502" i="1"/>
  <c r="F502" i="1" s="1"/>
  <c r="G502" i="1" s="1"/>
  <c r="D503" i="1"/>
  <c r="D504" i="1"/>
  <c r="D505" i="1"/>
  <c r="D506" i="1"/>
  <c r="D507" i="1"/>
  <c r="D508" i="1"/>
  <c r="D509" i="1"/>
  <c r="D510" i="1"/>
  <c r="D511" i="1"/>
  <c r="F511" i="1" s="1"/>
  <c r="G511" i="1" s="1"/>
  <c r="D512" i="1"/>
  <c r="D513" i="1"/>
  <c r="D514" i="1"/>
  <c r="F514" i="1" s="1"/>
  <c r="G514" i="1" s="1"/>
  <c r="D515" i="1"/>
  <c r="D516" i="1"/>
  <c r="D517" i="1"/>
  <c r="D518" i="1"/>
  <c r="D519" i="1"/>
  <c r="D520" i="1"/>
  <c r="D521" i="1"/>
  <c r="D522" i="1"/>
  <c r="F522" i="1" s="1"/>
  <c r="G522" i="1" s="1"/>
  <c r="D523" i="1"/>
  <c r="D524" i="1"/>
  <c r="D525" i="1"/>
  <c r="D526" i="1"/>
  <c r="F526" i="1" s="1"/>
  <c r="G526" i="1" s="1"/>
  <c r="D527" i="1"/>
  <c r="D528" i="1"/>
  <c r="D529" i="1"/>
  <c r="D530" i="1"/>
  <c r="D531" i="1"/>
  <c r="D532" i="1"/>
  <c r="D533" i="1"/>
  <c r="D534" i="1"/>
  <c r="F534" i="1" s="1"/>
  <c r="G534" i="1" s="1"/>
  <c r="D535" i="1"/>
  <c r="F535" i="1" s="1"/>
  <c r="G535" i="1" s="1"/>
  <c r="D536" i="1"/>
  <c r="F536" i="1" s="1"/>
  <c r="G536" i="1" s="1"/>
  <c r="D537" i="1"/>
  <c r="F537" i="1" s="1"/>
  <c r="G537" i="1" s="1"/>
  <c r="D538" i="1"/>
  <c r="F538" i="1" s="1"/>
  <c r="G538" i="1" s="1"/>
  <c r="D539" i="1"/>
  <c r="D540" i="1"/>
  <c r="D541" i="1"/>
  <c r="D542" i="1"/>
  <c r="D543" i="1"/>
  <c r="D544" i="1"/>
  <c r="D545" i="1"/>
  <c r="D546" i="1"/>
  <c r="F546" i="1" s="1"/>
  <c r="G546" i="1" s="1"/>
  <c r="D547" i="1"/>
  <c r="F547" i="1" s="1"/>
  <c r="G547" i="1" s="1"/>
  <c r="D548" i="1"/>
  <c r="F548" i="1" s="1"/>
  <c r="G548" i="1" s="1"/>
  <c r="D549" i="1"/>
  <c r="F549" i="1" s="1"/>
  <c r="G549" i="1" s="1"/>
  <c r="D550" i="1"/>
  <c r="D551" i="1"/>
  <c r="D552" i="1"/>
  <c r="D553" i="1"/>
  <c r="D554" i="1"/>
  <c r="D555" i="1"/>
  <c r="D556" i="1"/>
  <c r="D557" i="1"/>
  <c r="D558" i="1"/>
  <c r="F558" i="1" s="1"/>
  <c r="G558" i="1" s="1"/>
  <c r="D559" i="1"/>
  <c r="F559" i="1" s="1"/>
  <c r="G559" i="1" s="1"/>
  <c r="D560" i="1"/>
  <c r="F560" i="1" s="1"/>
  <c r="G560" i="1" s="1"/>
  <c r="D561" i="1"/>
  <c r="D562" i="1"/>
  <c r="D563" i="1"/>
  <c r="D564" i="1"/>
  <c r="D565" i="1"/>
  <c r="D566" i="1"/>
  <c r="D567" i="1"/>
  <c r="D568" i="1"/>
  <c r="D569" i="1"/>
  <c r="D570" i="1"/>
  <c r="F570" i="1" s="1"/>
  <c r="G570" i="1" s="1"/>
  <c r="D571" i="1"/>
  <c r="F571" i="1" s="1"/>
  <c r="G571" i="1" s="1"/>
  <c r="D572" i="1"/>
  <c r="F572" i="1" s="1"/>
  <c r="G572" i="1" s="1"/>
  <c r="D573" i="1"/>
  <c r="F573" i="1" s="1"/>
  <c r="G573" i="1" s="1"/>
  <c r="D574" i="1"/>
  <c r="D575" i="1"/>
  <c r="D576" i="1"/>
  <c r="D577" i="1"/>
  <c r="D578" i="1"/>
  <c r="D579" i="1"/>
  <c r="D580" i="1"/>
  <c r="D581" i="1"/>
  <c r="D582" i="1"/>
  <c r="F582" i="1" s="1"/>
  <c r="G582" i="1" s="1"/>
  <c r="D583" i="1"/>
  <c r="F583" i="1" s="1"/>
  <c r="G583" i="1" s="1"/>
  <c r="D584" i="1"/>
  <c r="F584" i="1" s="1"/>
  <c r="G584" i="1" s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F597" i="1" s="1"/>
  <c r="G597" i="1" s="1"/>
  <c r="D598" i="1"/>
  <c r="D599" i="1"/>
  <c r="D600" i="1"/>
  <c r="D601" i="1"/>
  <c r="D602" i="1"/>
  <c r="D603" i="1"/>
  <c r="D604" i="1"/>
  <c r="D605" i="1"/>
  <c r="D606" i="1"/>
  <c r="F606" i="1" s="1"/>
  <c r="G606" i="1" s="1"/>
  <c r="D607" i="1"/>
  <c r="F607" i="1" s="1"/>
  <c r="G607" i="1" s="1"/>
  <c r="D608" i="1"/>
  <c r="F608" i="1" s="1"/>
  <c r="G608" i="1" s="1"/>
  <c r="D609" i="1"/>
  <c r="F609" i="1" s="1"/>
  <c r="G609" i="1" s="1"/>
  <c r="D610" i="1"/>
  <c r="D611" i="1"/>
  <c r="D612" i="1"/>
  <c r="D613" i="1"/>
  <c r="D614" i="1"/>
  <c r="D615" i="1"/>
  <c r="D616" i="1"/>
  <c r="D617" i="1"/>
  <c r="D618" i="1"/>
  <c r="D619" i="1"/>
  <c r="D620" i="1"/>
  <c r="D621" i="1"/>
  <c r="F621" i="1" s="1"/>
  <c r="G621" i="1" s="1"/>
  <c r="D622" i="1"/>
  <c r="F622" i="1" s="1"/>
  <c r="G622" i="1" s="1"/>
  <c r="D623" i="1"/>
  <c r="D624" i="1"/>
  <c r="D625" i="1"/>
  <c r="D626" i="1"/>
  <c r="D627" i="1"/>
  <c r="D628" i="1"/>
  <c r="D629" i="1"/>
  <c r="D630" i="1"/>
  <c r="F630" i="1" s="1"/>
  <c r="G630" i="1" s="1"/>
  <c r="D631" i="1"/>
  <c r="F631" i="1" s="1"/>
  <c r="G631" i="1" s="1"/>
  <c r="D632" i="1"/>
  <c r="F632" i="1" s="1"/>
  <c r="G632" i="1" s="1"/>
  <c r="D633" i="1"/>
  <c r="F633" i="1" s="1"/>
  <c r="G633" i="1" s="1"/>
  <c r="D634" i="1"/>
  <c r="D635" i="1"/>
  <c r="D636" i="1"/>
  <c r="D637" i="1"/>
  <c r="D638" i="1"/>
  <c r="D639" i="1"/>
  <c r="D640" i="1"/>
  <c r="D641" i="1"/>
  <c r="D642" i="1"/>
  <c r="D643" i="1"/>
  <c r="F643" i="1" s="1"/>
  <c r="G643" i="1" s="1"/>
  <c r="D644" i="1"/>
  <c r="F644" i="1" s="1"/>
  <c r="G644" i="1" s="1"/>
  <c r="D645" i="1"/>
  <c r="F645" i="1" s="1"/>
  <c r="G645" i="1" s="1"/>
  <c r="D646" i="1"/>
  <c r="D647" i="1"/>
  <c r="D648" i="1"/>
  <c r="D649" i="1"/>
  <c r="D650" i="1"/>
  <c r="D651" i="1"/>
  <c r="D652" i="1"/>
  <c r="D653" i="1"/>
  <c r="D654" i="1"/>
  <c r="F654" i="1" s="1"/>
  <c r="G654" i="1" s="1"/>
  <c r="D655" i="1"/>
  <c r="F655" i="1" s="1"/>
  <c r="G655" i="1" s="1"/>
  <c r="D656" i="1"/>
  <c r="F656" i="1" s="1"/>
  <c r="G656" i="1" s="1"/>
  <c r="D657" i="1"/>
  <c r="F657" i="1" s="1"/>
  <c r="G657" i="1" s="1"/>
  <c r="D658" i="1"/>
  <c r="D659" i="1"/>
  <c r="D660" i="1"/>
  <c r="D661" i="1"/>
  <c r="D662" i="1"/>
  <c r="D663" i="1"/>
  <c r="D664" i="1"/>
  <c r="D665" i="1"/>
  <c r="D666" i="1"/>
  <c r="F666" i="1" s="1"/>
  <c r="G666" i="1" s="1"/>
  <c r="D667" i="1"/>
  <c r="D668" i="1"/>
  <c r="D669" i="1"/>
  <c r="D670" i="1"/>
  <c r="D671" i="1"/>
  <c r="D672" i="1"/>
  <c r="D673" i="1"/>
  <c r="D674" i="1"/>
  <c r="D675" i="1"/>
  <c r="D676" i="1"/>
  <c r="D677" i="1"/>
  <c r="D678" i="1"/>
  <c r="F678" i="1" s="1"/>
  <c r="G678" i="1" s="1"/>
  <c r="D679" i="1"/>
  <c r="D680" i="1"/>
  <c r="F680" i="1" s="1"/>
  <c r="G680" i="1" s="1"/>
  <c r="D681" i="1"/>
  <c r="F681" i="1" s="1"/>
  <c r="G681" i="1" s="1"/>
  <c r="D682" i="1"/>
  <c r="F682" i="1" s="1"/>
  <c r="G682" i="1" s="1"/>
  <c r="D683" i="1"/>
  <c r="D684" i="1"/>
  <c r="D685" i="1"/>
  <c r="D686" i="1"/>
  <c r="D687" i="1"/>
  <c r="D688" i="1"/>
  <c r="D689" i="1"/>
  <c r="D690" i="1"/>
  <c r="F690" i="1" s="1"/>
  <c r="G690" i="1" s="1"/>
  <c r="D691" i="1"/>
  <c r="D692" i="1"/>
  <c r="F692" i="1" s="1"/>
  <c r="G692" i="1" s="1"/>
  <c r="D693" i="1"/>
  <c r="F693" i="1" s="1"/>
  <c r="G693" i="1" s="1"/>
  <c r="D694" i="1"/>
  <c r="D695" i="1"/>
  <c r="D696" i="1"/>
  <c r="D697" i="1"/>
  <c r="D698" i="1"/>
  <c r="D699" i="1"/>
  <c r="D700" i="1"/>
  <c r="D701" i="1"/>
  <c r="D702" i="1"/>
  <c r="F702" i="1" s="1"/>
  <c r="G702" i="1" s="1"/>
  <c r="D703" i="1"/>
  <c r="F703" i="1" s="1"/>
  <c r="G703" i="1" s="1"/>
  <c r="D704" i="1"/>
  <c r="F704" i="1" s="1"/>
  <c r="G704" i="1" s="1"/>
  <c r="D705" i="1"/>
  <c r="F705" i="1" s="1"/>
  <c r="G705" i="1" s="1"/>
  <c r="D706" i="1"/>
  <c r="D707" i="1"/>
  <c r="D708" i="1"/>
  <c r="D709" i="1"/>
  <c r="D710" i="1"/>
  <c r="D711" i="1"/>
  <c r="D712" i="1"/>
  <c r="D713" i="1"/>
  <c r="D714" i="1"/>
  <c r="F714" i="1" s="1"/>
  <c r="G714" i="1" s="1"/>
  <c r="D715" i="1"/>
  <c r="D716" i="1"/>
  <c r="F716" i="1" s="1"/>
  <c r="G716" i="1" s="1"/>
  <c r="D717" i="1"/>
  <c r="F717" i="1" s="1"/>
  <c r="G717" i="1" s="1"/>
  <c r="D718" i="1"/>
  <c r="D719" i="1"/>
  <c r="D720" i="1"/>
  <c r="D721" i="1"/>
  <c r="F721" i="1" s="1"/>
  <c r="G721" i="1" s="1"/>
  <c r="D722" i="1"/>
  <c r="D723" i="1"/>
  <c r="D724" i="1"/>
  <c r="D725" i="1"/>
  <c r="D726" i="1"/>
  <c r="F726" i="1" s="1"/>
  <c r="G726" i="1" s="1"/>
  <c r="D727" i="1"/>
  <c r="F727" i="1" s="1"/>
  <c r="G727" i="1" s="1"/>
  <c r="D728" i="1"/>
  <c r="F728" i="1" s="1"/>
  <c r="G728" i="1" s="1"/>
  <c r="D729" i="1"/>
  <c r="F729" i="1" s="1"/>
  <c r="G729" i="1" s="1"/>
  <c r="D730" i="1"/>
  <c r="D731" i="1"/>
  <c r="D732" i="1"/>
  <c r="D733" i="1"/>
  <c r="D734" i="1"/>
  <c r="D735" i="1"/>
  <c r="D736" i="1"/>
  <c r="D737" i="1"/>
  <c r="D738" i="1"/>
  <c r="F738" i="1" s="1"/>
  <c r="G738" i="1" s="1"/>
  <c r="D739" i="1"/>
  <c r="F739" i="1" s="1"/>
  <c r="G739" i="1" s="1"/>
  <c r="D740" i="1"/>
  <c r="F740" i="1" s="1"/>
  <c r="G740" i="1" s="1"/>
  <c r="D741" i="1"/>
  <c r="F741" i="1" s="1"/>
  <c r="G741" i="1" s="1"/>
  <c r="D742" i="1"/>
  <c r="D743" i="1"/>
  <c r="D744" i="1"/>
  <c r="F744" i="1" s="1"/>
  <c r="G744" i="1" s="1"/>
  <c r="D745" i="1"/>
  <c r="D746" i="1"/>
  <c r="D747" i="1"/>
  <c r="D748" i="1"/>
  <c r="D749" i="1"/>
  <c r="D750" i="1"/>
  <c r="D751" i="1"/>
  <c r="F751" i="1" s="1"/>
  <c r="G751" i="1" s="1"/>
  <c r="D752" i="1"/>
  <c r="F752" i="1" s="1"/>
  <c r="G752" i="1" s="1"/>
  <c r="D753" i="1"/>
  <c r="F753" i="1" s="1"/>
  <c r="G753" i="1" s="1"/>
  <c r="D754" i="1"/>
  <c r="F754" i="1" s="1"/>
  <c r="G754" i="1" s="1"/>
  <c r="D755" i="1"/>
  <c r="F755" i="1" s="1"/>
  <c r="G755" i="1" s="1"/>
  <c r="D756" i="1"/>
  <c r="D757" i="1"/>
  <c r="D758" i="1"/>
  <c r="D759" i="1"/>
  <c r="D760" i="1"/>
  <c r="D761" i="1"/>
  <c r="D762" i="1"/>
  <c r="F762" i="1" s="1"/>
  <c r="G762" i="1" s="1"/>
  <c r="D763" i="1"/>
  <c r="F763" i="1" s="1"/>
  <c r="G763" i="1" s="1"/>
  <c r="D764" i="1"/>
  <c r="F764" i="1" s="1"/>
  <c r="G764" i="1" s="1"/>
  <c r="D765" i="1"/>
  <c r="F765" i="1" s="1"/>
  <c r="G765" i="1" s="1"/>
  <c r="D766" i="1"/>
  <c r="F766" i="1" s="1"/>
  <c r="G766" i="1" s="1"/>
  <c r="D767" i="1"/>
  <c r="D768" i="1"/>
  <c r="D769" i="1"/>
  <c r="D770" i="1"/>
  <c r="D771" i="1"/>
  <c r="D772" i="1"/>
  <c r="D773" i="1"/>
  <c r="D774" i="1"/>
  <c r="F774" i="1" s="1"/>
  <c r="G774" i="1" s="1"/>
  <c r="D775" i="1"/>
  <c r="F775" i="1" s="1"/>
  <c r="G775" i="1" s="1"/>
  <c r="D776" i="1"/>
  <c r="F776" i="1" s="1"/>
  <c r="G776" i="1" s="1"/>
  <c r="D777" i="1"/>
  <c r="F777" i="1" s="1"/>
  <c r="G777" i="1" s="1"/>
  <c r="D778" i="1"/>
  <c r="F778" i="1" s="1"/>
  <c r="G778" i="1" s="1"/>
  <c r="D779" i="1"/>
  <c r="F779" i="1" s="1"/>
  <c r="G779" i="1" s="1"/>
  <c r="D780" i="1"/>
  <c r="D781" i="1"/>
  <c r="D782" i="1"/>
  <c r="F782" i="1" s="1"/>
  <c r="G782" i="1" s="1"/>
  <c r="D783" i="1"/>
  <c r="D784" i="1"/>
  <c r="D785" i="1"/>
  <c r="D786" i="1"/>
  <c r="D787" i="1"/>
  <c r="D788" i="1"/>
  <c r="D789" i="1"/>
  <c r="D790" i="1"/>
  <c r="F790" i="1" s="1"/>
  <c r="G790" i="1" s="1"/>
  <c r="D791" i="1"/>
  <c r="F791" i="1" s="1"/>
  <c r="G791" i="1" s="1"/>
  <c r="D792" i="1"/>
  <c r="D793" i="1"/>
  <c r="D794" i="1"/>
  <c r="D795" i="1"/>
  <c r="D796" i="1"/>
  <c r="D797" i="1"/>
  <c r="D798" i="1"/>
  <c r="D799" i="1"/>
  <c r="D800" i="1"/>
  <c r="D801" i="1"/>
  <c r="D802" i="1"/>
  <c r="F802" i="1" s="1"/>
  <c r="G802" i="1" s="1"/>
  <c r="D803" i="1"/>
  <c r="D804" i="1"/>
  <c r="D805" i="1"/>
  <c r="D806" i="1"/>
  <c r="D807" i="1"/>
  <c r="D808" i="1"/>
  <c r="D809" i="1"/>
  <c r="D810" i="1"/>
  <c r="D811" i="1"/>
  <c r="D812" i="1"/>
  <c r="D813" i="1"/>
  <c r="D814" i="1"/>
  <c r="F814" i="1" s="1"/>
  <c r="G814" i="1" s="1"/>
  <c r="D815" i="1"/>
  <c r="F815" i="1" s="1"/>
  <c r="G815" i="1" s="1"/>
  <c r="D816" i="1"/>
  <c r="F816" i="1" s="1"/>
  <c r="G816" i="1" s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F838" i="1" s="1"/>
  <c r="G838" i="1" s="1"/>
  <c r="D839" i="1"/>
  <c r="F839" i="1" s="1"/>
  <c r="G839" i="1" s="1"/>
  <c r="D840" i="1"/>
  <c r="D841" i="1"/>
  <c r="D842" i="1"/>
  <c r="D843" i="1"/>
  <c r="D844" i="1"/>
  <c r="D845" i="1"/>
  <c r="D846" i="1"/>
  <c r="D847" i="1"/>
  <c r="D848" i="1"/>
  <c r="D849" i="1"/>
  <c r="D850" i="1"/>
  <c r="F850" i="1" s="1"/>
  <c r="G850" i="1" s="1"/>
  <c r="D851" i="1"/>
  <c r="D852" i="1"/>
  <c r="F852" i="1" s="1"/>
  <c r="G852" i="1" s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F874" i="1" s="1"/>
  <c r="G874" i="1" s="1"/>
  <c r="D875" i="1"/>
  <c r="F875" i="1" s="1"/>
  <c r="G875" i="1" s="1"/>
  <c r="D876" i="1"/>
  <c r="D877" i="1"/>
  <c r="D878" i="1"/>
  <c r="D879" i="1"/>
  <c r="D880" i="1"/>
  <c r="D881" i="1"/>
  <c r="D882" i="1"/>
  <c r="D883" i="1"/>
  <c r="D884" i="1"/>
  <c r="D885" i="1"/>
  <c r="D886" i="1"/>
  <c r="F886" i="1" s="1"/>
  <c r="G886" i="1" s="1"/>
  <c r="D887" i="1"/>
  <c r="D888" i="1"/>
  <c r="D889" i="1"/>
  <c r="D890" i="1"/>
  <c r="D891" i="1"/>
  <c r="D892" i="1"/>
  <c r="D893" i="1"/>
  <c r="D894" i="1"/>
  <c r="D895" i="1"/>
  <c r="D896" i="1"/>
  <c r="D897" i="1"/>
  <c r="D898" i="1"/>
  <c r="F898" i="1" s="1"/>
  <c r="G898" i="1" s="1"/>
  <c r="D899" i="1"/>
  <c r="F899" i="1" s="1"/>
  <c r="G899" i="1" s="1"/>
  <c r="D900" i="1"/>
  <c r="F900" i="1" s="1"/>
  <c r="G900" i="1" s="1"/>
  <c r="D901" i="1"/>
  <c r="D902" i="1"/>
  <c r="D903" i="1"/>
  <c r="D904" i="1"/>
  <c r="F904" i="1" s="1"/>
  <c r="G904" i="1" s="1"/>
  <c r="D905" i="1"/>
  <c r="D906" i="1"/>
  <c r="D907" i="1"/>
  <c r="D908" i="1"/>
  <c r="D909" i="1"/>
  <c r="D910" i="1"/>
  <c r="F910" i="1" s="1"/>
  <c r="G910" i="1" s="1"/>
  <c r="D911" i="1"/>
  <c r="F911" i="1" s="1"/>
  <c r="G911" i="1" s="1"/>
  <c r="D912" i="1"/>
  <c r="D913" i="1"/>
  <c r="D914" i="1"/>
  <c r="D915" i="1"/>
  <c r="D916" i="1"/>
  <c r="D917" i="1"/>
  <c r="D918" i="1"/>
  <c r="D919" i="1"/>
  <c r="D920" i="1"/>
  <c r="D921" i="1"/>
  <c r="D922" i="1"/>
  <c r="F922" i="1" s="1"/>
  <c r="G922" i="1" s="1"/>
  <c r="D923" i="1"/>
  <c r="D924" i="1"/>
  <c r="D925" i="1"/>
  <c r="D926" i="1"/>
  <c r="D927" i="1"/>
  <c r="D928" i="1"/>
  <c r="D929" i="1"/>
  <c r="D930" i="1"/>
  <c r="D931" i="1"/>
  <c r="D932" i="1"/>
  <c r="D933" i="1"/>
  <c r="D934" i="1"/>
  <c r="F934" i="1" s="1"/>
  <c r="G934" i="1" s="1"/>
  <c r="D935" i="1"/>
  <c r="F935" i="1" s="1"/>
  <c r="G935" i="1" s="1"/>
  <c r="D936" i="1"/>
  <c r="D937" i="1"/>
  <c r="F937" i="1" s="1"/>
  <c r="G937" i="1" s="1"/>
  <c r="D938" i="1"/>
  <c r="D939" i="1"/>
  <c r="D940" i="1"/>
  <c r="D941" i="1"/>
  <c r="D942" i="1"/>
  <c r="D943" i="1"/>
  <c r="D944" i="1"/>
  <c r="D945" i="1"/>
  <c r="D946" i="1"/>
  <c r="F946" i="1" s="1"/>
  <c r="G946" i="1" s="1"/>
  <c r="D947" i="1"/>
  <c r="D948" i="1"/>
  <c r="D949" i="1"/>
  <c r="D950" i="1"/>
  <c r="D951" i="1"/>
  <c r="D952" i="1"/>
  <c r="D953" i="1"/>
  <c r="D954" i="1"/>
  <c r="F954" i="1" s="1"/>
  <c r="G954" i="1" s="1"/>
  <c r="D955" i="1"/>
  <c r="F955" i="1" s="1"/>
  <c r="G955" i="1" s="1"/>
  <c r="D956" i="1"/>
  <c r="F956" i="1" s="1"/>
  <c r="G956" i="1" s="1"/>
  <c r="D957" i="1"/>
  <c r="F957" i="1" s="1"/>
  <c r="G957" i="1" s="1"/>
  <c r="D958" i="1"/>
  <c r="D959" i="1"/>
  <c r="D960" i="1"/>
  <c r="D961" i="1"/>
  <c r="D962" i="1"/>
  <c r="D963" i="1"/>
  <c r="D964" i="1"/>
  <c r="D965" i="1"/>
  <c r="D966" i="1"/>
  <c r="D967" i="1"/>
  <c r="F967" i="1" s="1"/>
  <c r="G967" i="1" s="1"/>
  <c r="D968" i="1"/>
  <c r="F968" i="1" s="1"/>
  <c r="G968" i="1" s="1"/>
  <c r="D969" i="1"/>
  <c r="F969" i="1" s="1"/>
  <c r="G969" i="1" s="1"/>
  <c r="D970" i="1"/>
  <c r="D971" i="1"/>
  <c r="D972" i="1"/>
  <c r="D973" i="1"/>
  <c r="D974" i="1"/>
  <c r="D975" i="1"/>
  <c r="D976" i="1"/>
  <c r="F976" i="1" s="1"/>
  <c r="G976" i="1" s="1"/>
  <c r="D977" i="1"/>
  <c r="D978" i="1"/>
  <c r="F978" i="1" s="1"/>
  <c r="G978" i="1" s="1"/>
  <c r="D979" i="1"/>
  <c r="F979" i="1" s="1"/>
  <c r="G979" i="1" s="1"/>
  <c r="D980" i="1"/>
  <c r="F980" i="1" s="1"/>
  <c r="G980" i="1" s="1"/>
  <c r="D981" i="1"/>
  <c r="F981" i="1" s="1"/>
  <c r="G981" i="1" s="1"/>
  <c r="D982" i="1"/>
  <c r="D983" i="1"/>
  <c r="D984" i="1"/>
  <c r="D985" i="1"/>
  <c r="D986" i="1"/>
  <c r="D987" i="1"/>
  <c r="D988" i="1"/>
  <c r="D989" i="1"/>
  <c r="D990" i="1"/>
  <c r="F990" i="1" s="1"/>
  <c r="G990" i="1" s="1"/>
  <c r="D991" i="1"/>
  <c r="F991" i="1" s="1"/>
  <c r="G991" i="1" s="1"/>
  <c r="D992" i="1"/>
  <c r="F992" i="1" s="1"/>
  <c r="G992" i="1" s="1"/>
  <c r="D993" i="1"/>
  <c r="F993" i="1" s="1"/>
  <c r="G993" i="1" s="1"/>
  <c r="D994" i="1"/>
  <c r="F994" i="1" s="1"/>
  <c r="G994" i="1" s="1"/>
  <c r="D995" i="1"/>
  <c r="D996" i="1"/>
  <c r="D997" i="1"/>
  <c r="D998" i="1"/>
  <c r="D999" i="1"/>
  <c r="D1000" i="1"/>
  <c r="D1001" i="1"/>
  <c r="D1002" i="1"/>
  <c r="F1002" i="1" s="1"/>
  <c r="G1002" i="1" s="1"/>
  <c r="D1003" i="1"/>
  <c r="F1003" i="1" s="1"/>
  <c r="G1003" i="1" s="1"/>
  <c r="D1004" i="1"/>
  <c r="F1004" i="1" s="1"/>
  <c r="G1004" i="1" s="1"/>
  <c r="D1005" i="1"/>
  <c r="F1005" i="1" s="1"/>
  <c r="G1005" i="1" s="1"/>
  <c r="D1006" i="1"/>
  <c r="F1006" i="1" s="1"/>
  <c r="G1006" i="1" s="1"/>
  <c r="D1007" i="1"/>
  <c r="D1008" i="1"/>
  <c r="D1009" i="1"/>
  <c r="D1010" i="1"/>
  <c r="D1011" i="1"/>
  <c r="D1012" i="1"/>
  <c r="D1013" i="1"/>
  <c r="D1014" i="1"/>
  <c r="F1014" i="1" s="1"/>
  <c r="G1014" i="1" s="1"/>
  <c r="D1015" i="1"/>
  <c r="F1015" i="1" s="1"/>
  <c r="G1015" i="1" s="1"/>
  <c r="D1016" i="1"/>
  <c r="F1016" i="1" s="1"/>
  <c r="G1016" i="1" s="1"/>
  <c r="D1017" i="1"/>
  <c r="F1017" i="1" s="1"/>
  <c r="G1017" i="1" s="1"/>
  <c r="D1018" i="1"/>
  <c r="D1019" i="1"/>
  <c r="D1020" i="1"/>
  <c r="D1021" i="1"/>
  <c r="D1022" i="1"/>
  <c r="D1023" i="1"/>
  <c r="D1024" i="1"/>
  <c r="D1025" i="1"/>
  <c r="D1026" i="1"/>
  <c r="F1026" i="1" s="1"/>
  <c r="G1026" i="1" s="1"/>
  <c r="D1027" i="1"/>
  <c r="F1027" i="1" s="1"/>
  <c r="G1027" i="1" s="1"/>
  <c r="D1028" i="1"/>
  <c r="F1028" i="1" s="1"/>
  <c r="G1028" i="1" s="1"/>
  <c r="D1029" i="1"/>
  <c r="F1029" i="1" s="1"/>
  <c r="G1029" i="1" s="1"/>
  <c r="D1030" i="1"/>
  <c r="F1030" i="1" s="1"/>
  <c r="G1030" i="1" s="1"/>
  <c r="D1031" i="1"/>
  <c r="D1032" i="1"/>
  <c r="D1033" i="1"/>
  <c r="F1033" i="1" s="1"/>
  <c r="G1033" i="1" s="1"/>
  <c r="D1034" i="1"/>
  <c r="F1034" i="1" s="1"/>
  <c r="G1034" i="1" s="1"/>
  <c r="D1035" i="1"/>
  <c r="D1036" i="1"/>
  <c r="D1037" i="1"/>
  <c r="D1038" i="1"/>
  <c r="F1038" i="1" s="1"/>
  <c r="G1038" i="1" s="1"/>
  <c r="D1039" i="1"/>
  <c r="F1039" i="1" s="1"/>
  <c r="G1039" i="1" s="1"/>
  <c r="D1040" i="1"/>
  <c r="F1040" i="1" s="1"/>
  <c r="G1040" i="1" s="1"/>
  <c r="D1041" i="1"/>
  <c r="F1041" i="1" s="1"/>
  <c r="G1041" i="1" s="1"/>
  <c r="D1042" i="1"/>
  <c r="D1043" i="1"/>
  <c r="D1044" i="1"/>
  <c r="D1045" i="1"/>
  <c r="D1046" i="1"/>
  <c r="D1047" i="1"/>
  <c r="D1048" i="1"/>
  <c r="D1049" i="1"/>
  <c r="D1050" i="1"/>
  <c r="F1050" i="1" s="1"/>
  <c r="G1050" i="1" s="1"/>
  <c r="D1051" i="1"/>
  <c r="F1051" i="1" s="1"/>
  <c r="G1051" i="1" s="1"/>
  <c r="D1052" i="1"/>
  <c r="F1052" i="1" s="1"/>
  <c r="G1052" i="1" s="1"/>
  <c r="D1053" i="1"/>
  <c r="F1053" i="1" s="1"/>
  <c r="G1053" i="1" s="1"/>
  <c r="D1054" i="1"/>
  <c r="F1054" i="1" s="1"/>
  <c r="G1054" i="1" s="1"/>
  <c r="D1055" i="1"/>
  <c r="D1056" i="1"/>
  <c r="D1057" i="1"/>
  <c r="D1058" i="1"/>
  <c r="D1059" i="1"/>
  <c r="D1060" i="1"/>
  <c r="D1061" i="1"/>
  <c r="D1062" i="1"/>
  <c r="F1062" i="1" s="1"/>
  <c r="G1062" i="1" s="1"/>
  <c r="D1063" i="1"/>
  <c r="F1063" i="1" s="1"/>
  <c r="G1063" i="1" s="1"/>
  <c r="D1064" i="1"/>
  <c r="F1064" i="1" s="1"/>
  <c r="G1064" i="1" s="1"/>
  <c r="D1065" i="1"/>
  <c r="F1065" i="1" s="1"/>
  <c r="G1065" i="1" s="1"/>
  <c r="D1066" i="1"/>
  <c r="D1067" i="1"/>
  <c r="D1068" i="1"/>
  <c r="D1069" i="1"/>
  <c r="D1070" i="1"/>
  <c r="D1071" i="1"/>
  <c r="D1072" i="1"/>
  <c r="D1073" i="1"/>
  <c r="D1074" i="1"/>
  <c r="F1074" i="1" s="1"/>
  <c r="G1074" i="1" s="1"/>
  <c r="D1075" i="1"/>
  <c r="F1075" i="1" s="1"/>
  <c r="G1075" i="1" s="1"/>
  <c r="D1076" i="1"/>
  <c r="F1076" i="1" s="1"/>
  <c r="G1076" i="1" s="1"/>
  <c r="D1077" i="1"/>
  <c r="F1077" i="1" s="1"/>
  <c r="G1077" i="1" s="1"/>
  <c r="D1078" i="1"/>
  <c r="F1078" i="1" s="1"/>
  <c r="G1078" i="1" s="1"/>
  <c r="D1079" i="1"/>
  <c r="D1080" i="1"/>
  <c r="D1081" i="1"/>
  <c r="D1082" i="1"/>
  <c r="D1083" i="1"/>
  <c r="D1084" i="1"/>
  <c r="D1085" i="1"/>
  <c r="D1086" i="1"/>
  <c r="F1086" i="1" s="1"/>
  <c r="G1086" i="1" s="1"/>
  <c r="D1087" i="1"/>
  <c r="F1087" i="1" s="1"/>
  <c r="G1087" i="1" s="1"/>
  <c r="D1088" i="1"/>
  <c r="F1088" i="1" s="1"/>
  <c r="G1088" i="1" s="1"/>
  <c r="D1089" i="1"/>
  <c r="F1089" i="1" s="1"/>
  <c r="G1089" i="1" s="1"/>
  <c r="D1090" i="1"/>
  <c r="F1090" i="1" s="1"/>
  <c r="G1090" i="1" s="1"/>
  <c r="D1091" i="1"/>
  <c r="D1092" i="1"/>
  <c r="D1093" i="1"/>
  <c r="D1094" i="1"/>
  <c r="D1095" i="1"/>
  <c r="D1096" i="1"/>
  <c r="D1097" i="1"/>
  <c r="D1098" i="1"/>
  <c r="F1098" i="1" s="1"/>
  <c r="G1098" i="1" s="1"/>
  <c r="D1099" i="1"/>
  <c r="F1099" i="1" s="1"/>
  <c r="G1099" i="1" s="1"/>
  <c r="D1100" i="1"/>
  <c r="F1100" i="1" s="1"/>
  <c r="G1100" i="1" s="1"/>
  <c r="D1101" i="1"/>
  <c r="F1101" i="1" s="1"/>
  <c r="G1101" i="1" s="1"/>
  <c r="D1102" i="1"/>
  <c r="F1102" i="1" s="1"/>
  <c r="G1102" i="1" s="1"/>
  <c r="D1103" i="1"/>
  <c r="D1104" i="1"/>
  <c r="D1105" i="1"/>
  <c r="D1106" i="1"/>
  <c r="D1107" i="1"/>
  <c r="D1108" i="1"/>
  <c r="D1109" i="1"/>
  <c r="D1110" i="1"/>
  <c r="F1110" i="1" s="1"/>
  <c r="G1110" i="1" s="1"/>
  <c r="D1111" i="1"/>
  <c r="F1111" i="1" s="1"/>
  <c r="G1111" i="1" s="1"/>
  <c r="D1112" i="1"/>
  <c r="F1112" i="1" s="1"/>
  <c r="G1112" i="1" s="1"/>
  <c r="D1113" i="1"/>
  <c r="F1113" i="1" s="1"/>
  <c r="G1113" i="1" s="1"/>
  <c r="D1114" i="1"/>
  <c r="F1114" i="1" s="1"/>
  <c r="G1114" i="1" s="1"/>
  <c r="D1115" i="1"/>
  <c r="D1116" i="1"/>
  <c r="D1117" i="1"/>
  <c r="D1118" i="1"/>
  <c r="D1119" i="1"/>
  <c r="D1120" i="1"/>
  <c r="D1121" i="1"/>
  <c r="D1122" i="1"/>
  <c r="D1123" i="1"/>
  <c r="F1123" i="1" s="1"/>
  <c r="G1123" i="1" s="1"/>
  <c r="D1124" i="1"/>
  <c r="F1124" i="1" s="1"/>
  <c r="G1124" i="1" s="1"/>
  <c r="D1125" i="1"/>
  <c r="F1125" i="1" s="1"/>
  <c r="G1125" i="1" s="1"/>
  <c r="D1126" i="1"/>
  <c r="F1126" i="1" s="1"/>
  <c r="G1126" i="1" s="1"/>
  <c r="D1127" i="1"/>
  <c r="D1128" i="1"/>
  <c r="F1128" i="1" s="1"/>
  <c r="G1128" i="1" s="1"/>
  <c r="D1129" i="1"/>
  <c r="D1130" i="1"/>
  <c r="D1131" i="1"/>
  <c r="D1132" i="1"/>
  <c r="D1133" i="1"/>
  <c r="D1134" i="1"/>
  <c r="F1134" i="1" s="1"/>
  <c r="G1134" i="1" s="1"/>
  <c r="D1135" i="1"/>
  <c r="F1135" i="1" s="1"/>
  <c r="G1135" i="1" s="1"/>
  <c r="D1136" i="1"/>
  <c r="F1136" i="1" s="1"/>
  <c r="G1136" i="1" s="1"/>
  <c r="D1137" i="1"/>
  <c r="F1137" i="1" s="1"/>
  <c r="G1137" i="1" s="1"/>
  <c r="D1138" i="1"/>
  <c r="F1138" i="1" s="1"/>
  <c r="G1138" i="1" s="1"/>
  <c r="D1139" i="1"/>
  <c r="D1140" i="1"/>
  <c r="D1141" i="1"/>
  <c r="D1142" i="1"/>
  <c r="D1143" i="1"/>
  <c r="D1144" i="1"/>
  <c r="D1145" i="1"/>
  <c r="D1146" i="1"/>
  <c r="F1146" i="1" s="1"/>
  <c r="G1146" i="1" s="1"/>
  <c r="D1147" i="1"/>
  <c r="F1147" i="1" s="1"/>
  <c r="G1147" i="1" s="1"/>
  <c r="D1148" i="1"/>
  <c r="F1148" i="1" s="1"/>
  <c r="G1148" i="1" s="1"/>
  <c r="D1149" i="1"/>
  <c r="F1149" i="1" s="1"/>
  <c r="G1149" i="1" s="1"/>
  <c r="D1150" i="1"/>
  <c r="D1151" i="1"/>
  <c r="D1152" i="1"/>
  <c r="D1153" i="1"/>
  <c r="F1153" i="1" s="1"/>
  <c r="G1153" i="1" s="1"/>
  <c r="D1154" i="1"/>
  <c r="D1155" i="1"/>
  <c r="D1156" i="1"/>
  <c r="D1157" i="1"/>
  <c r="F1157" i="1" s="1"/>
  <c r="G1157" i="1" s="1"/>
  <c r="D1158" i="1"/>
  <c r="F1158" i="1" s="1"/>
  <c r="G1158" i="1" s="1"/>
  <c r="D1159" i="1"/>
  <c r="F1159" i="1" s="1"/>
  <c r="G1159" i="1" s="1"/>
  <c r="D1160" i="1"/>
  <c r="F1160" i="1" s="1"/>
  <c r="G1160" i="1" s="1"/>
  <c r="D1161" i="1"/>
  <c r="F1161" i="1" s="1"/>
  <c r="G1161" i="1" s="1"/>
  <c r="D1162" i="1"/>
  <c r="F1162" i="1" s="1"/>
  <c r="G1162" i="1" s="1"/>
  <c r="D1163" i="1"/>
  <c r="D1164" i="1"/>
  <c r="D1165" i="1"/>
  <c r="D1166" i="1"/>
  <c r="D1167" i="1"/>
  <c r="D1168" i="1"/>
  <c r="D1169" i="1"/>
  <c r="D1170" i="1"/>
  <c r="F1170" i="1" s="1"/>
  <c r="G1170" i="1" s="1"/>
  <c r="D1171" i="1"/>
  <c r="F1171" i="1" s="1"/>
  <c r="G1171" i="1" s="1"/>
  <c r="D1172" i="1"/>
  <c r="F1172" i="1" s="1"/>
  <c r="G1172" i="1" s="1"/>
  <c r="D1173" i="1"/>
  <c r="F1173" i="1" s="1"/>
  <c r="G1173" i="1" s="1"/>
  <c r="D1174" i="1"/>
  <c r="D1175" i="1"/>
  <c r="D1176" i="1"/>
  <c r="D1177" i="1"/>
  <c r="D1178" i="1"/>
  <c r="D1179" i="1"/>
  <c r="D1180" i="1"/>
  <c r="D1181" i="1"/>
  <c r="D1182" i="1"/>
  <c r="F1182" i="1" s="1"/>
  <c r="G1182" i="1" s="1"/>
  <c r="D1183" i="1"/>
  <c r="F1183" i="1" s="1"/>
  <c r="G1183" i="1" s="1"/>
  <c r="D1184" i="1"/>
  <c r="F1184" i="1" s="1"/>
  <c r="G1184" i="1" s="1"/>
  <c r="D1185" i="1"/>
  <c r="F1185" i="1" s="1"/>
  <c r="G1185" i="1" s="1"/>
  <c r="D1186" i="1"/>
  <c r="F1186" i="1" s="1"/>
  <c r="G1186" i="1" s="1"/>
  <c r="D1187" i="1"/>
  <c r="D1188" i="1"/>
  <c r="D1189" i="1"/>
  <c r="D1190" i="1"/>
  <c r="D1191" i="1"/>
  <c r="D1192" i="1"/>
  <c r="D1193" i="1"/>
  <c r="D1194" i="1"/>
  <c r="F1194" i="1" s="1"/>
  <c r="G1194" i="1" s="1"/>
  <c r="D1195" i="1"/>
  <c r="F1195" i="1" s="1"/>
  <c r="G1195" i="1" s="1"/>
  <c r="D1196" i="1"/>
  <c r="F1196" i="1" s="1"/>
  <c r="G1196" i="1" s="1"/>
  <c r="D1197" i="1"/>
  <c r="F1197" i="1" s="1"/>
  <c r="G1197" i="1" s="1"/>
  <c r="D1198" i="1"/>
  <c r="D1199" i="1"/>
  <c r="D1200" i="1"/>
  <c r="D1201" i="1"/>
  <c r="D1202" i="1"/>
  <c r="D1203" i="1"/>
  <c r="D1204" i="1"/>
  <c r="D1205" i="1"/>
  <c r="D1206" i="1"/>
  <c r="F1206" i="1" s="1"/>
  <c r="G1206" i="1" s="1"/>
  <c r="D1207" i="1"/>
  <c r="F1207" i="1" s="1"/>
  <c r="G1207" i="1" s="1"/>
  <c r="D1208" i="1"/>
  <c r="F1208" i="1" s="1"/>
  <c r="G1208" i="1" s="1"/>
  <c r="D1209" i="1"/>
  <c r="F1209" i="1" s="1"/>
  <c r="G1209" i="1" s="1"/>
  <c r="D1210" i="1"/>
  <c r="F1210" i="1" s="1"/>
  <c r="G1210" i="1" s="1"/>
  <c r="D1211" i="1"/>
  <c r="D1212" i="1"/>
  <c r="D1213" i="1"/>
  <c r="D1214" i="1"/>
  <c r="D1215" i="1"/>
  <c r="D1216" i="1"/>
  <c r="F1216" i="1" s="1"/>
  <c r="G1216" i="1" s="1"/>
  <c r="D1217" i="1"/>
  <c r="D1218" i="1"/>
  <c r="F1218" i="1" s="1"/>
  <c r="G1218" i="1" s="1"/>
  <c r="D1219" i="1"/>
  <c r="F1219" i="1" s="1"/>
  <c r="G1219" i="1" s="1"/>
  <c r="D1220" i="1"/>
  <c r="F1220" i="1" s="1"/>
  <c r="G1220" i="1" s="1"/>
  <c r="D1221" i="1"/>
  <c r="F1221" i="1" s="1"/>
  <c r="G1221" i="1" s="1"/>
  <c r="D1222" i="1"/>
  <c r="D1223" i="1"/>
  <c r="D1224" i="1"/>
  <c r="D1225" i="1"/>
  <c r="D1226" i="1"/>
  <c r="D1227" i="1"/>
  <c r="D1228" i="1"/>
  <c r="D1229" i="1"/>
  <c r="D1230" i="1"/>
  <c r="F1230" i="1" s="1"/>
  <c r="G1230" i="1" s="1"/>
  <c r="D1231" i="1"/>
  <c r="F1231" i="1" s="1"/>
  <c r="G1231" i="1" s="1"/>
  <c r="D1232" i="1"/>
  <c r="F1232" i="1" s="1"/>
  <c r="G1232" i="1" s="1"/>
  <c r="D1233" i="1"/>
  <c r="F1233" i="1" s="1"/>
  <c r="G1233" i="1" s="1"/>
  <c r="D1234" i="1"/>
  <c r="F1234" i="1" s="1"/>
  <c r="G1234" i="1" s="1"/>
  <c r="D1235" i="1"/>
  <c r="D1236" i="1"/>
  <c r="D1237" i="1"/>
  <c r="D1238" i="1"/>
  <c r="D1239" i="1"/>
  <c r="D1240" i="1"/>
  <c r="D1241" i="1"/>
  <c r="D1242" i="1"/>
  <c r="D1243" i="1"/>
  <c r="F1243" i="1" s="1"/>
  <c r="G1243" i="1" s="1"/>
  <c r="D1244" i="1"/>
  <c r="F1244" i="1" s="1"/>
  <c r="G1244" i="1" s="1"/>
  <c r="D1245" i="1"/>
  <c r="F1245" i="1" s="1"/>
  <c r="G1245" i="1" s="1"/>
  <c r="D1246" i="1"/>
  <c r="F1246" i="1" s="1"/>
  <c r="G1246" i="1" s="1"/>
  <c r="D1247" i="1"/>
  <c r="D1248" i="1"/>
  <c r="D1249" i="1"/>
  <c r="D1250" i="1"/>
  <c r="D1251" i="1"/>
  <c r="D1252" i="1"/>
  <c r="D1253" i="1"/>
  <c r="D1254" i="1"/>
  <c r="F1254" i="1" s="1"/>
  <c r="G1254" i="1" s="1"/>
  <c r="D1255" i="1"/>
  <c r="F1255" i="1" s="1"/>
  <c r="G1255" i="1" s="1"/>
  <c r="D1256" i="1"/>
  <c r="F1256" i="1" s="1"/>
  <c r="G1256" i="1" s="1"/>
  <c r="D1257" i="1"/>
  <c r="F1257" i="1" s="1"/>
  <c r="G1257" i="1" s="1"/>
  <c r="D1258" i="1"/>
  <c r="F1258" i="1" s="1"/>
  <c r="G1258" i="1" s="1"/>
  <c r="D1259" i="1"/>
  <c r="D1260" i="1"/>
  <c r="D1261" i="1"/>
  <c r="D1262" i="1"/>
  <c r="D1263" i="1"/>
  <c r="D1264" i="1"/>
  <c r="D1265" i="1"/>
  <c r="D1266" i="1"/>
  <c r="F1266" i="1" s="1"/>
  <c r="G1266" i="1" s="1"/>
  <c r="D1267" i="1"/>
  <c r="F1267" i="1" s="1"/>
  <c r="G1267" i="1" s="1"/>
  <c r="D1268" i="1"/>
  <c r="F1268" i="1" s="1"/>
  <c r="G1268" i="1" s="1"/>
  <c r="D1269" i="1"/>
  <c r="F1269" i="1" s="1"/>
  <c r="G1269" i="1" s="1"/>
  <c r="D1270" i="1"/>
  <c r="F1270" i="1" s="1"/>
  <c r="G1270" i="1" s="1"/>
  <c r="D1271" i="1"/>
  <c r="D1272" i="1"/>
  <c r="F1272" i="1" s="1"/>
  <c r="G1272" i="1" s="1"/>
  <c r="D1273" i="1"/>
  <c r="D1274" i="1"/>
  <c r="D1275" i="1"/>
  <c r="D1276" i="1"/>
  <c r="D1277" i="1"/>
  <c r="D1278" i="1"/>
  <c r="F1278" i="1" s="1"/>
  <c r="G1278" i="1" s="1"/>
  <c r="D1279" i="1"/>
  <c r="F1279" i="1" s="1"/>
  <c r="G1279" i="1" s="1"/>
  <c r="D1280" i="1"/>
  <c r="F1280" i="1" s="1"/>
  <c r="G1280" i="1" s="1"/>
  <c r="D1281" i="1"/>
  <c r="F1281" i="1" s="1"/>
  <c r="G1281" i="1" s="1"/>
  <c r="D1282" i="1"/>
  <c r="F1282" i="1" s="1"/>
  <c r="G1282" i="1" s="1"/>
  <c r="D1283" i="1"/>
  <c r="D1284" i="1"/>
  <c r="D1285" i="1"/>
  <c r="D1286" i="1"/>
  <c r="D1287" i="1"/>
  <c r="D1288" i="1"/>
  <c r="D1289" i="1"/>
  <c r="D1290" i="1"/>
  <c r="F1290" i="1" s="1"/>
  <c r="G1290" i="1" s="1"/>
  <c r="D1291" i="1"/>
  <c r="D1292" i="1"/>
  <c r="D1293" i="1"/>
  <c r="F1293" i="1" s="1"/>
  <c r="G1293" i="1" s="1"/>
  <c r="D1294" i="1"/>
  <c r="F1294" i="1" s="1"/>
  <c r="G1294" i="1" s="1"/>
  <c r="D1295" i="1"/>
  <c r="D1296" i="1"/>
  <c r="F1296" i="1" s="1"/>
  <c r="G1296" i="1" s="1"/>
  <c r="D1297" i="1"/>
  <c r="D1298" i="1"/>
  <c r="F1298" i="1" s="1"/>
  <c r="G1298" i="1" s="1"/>
  <c r="D1299" i="1"/>
  <c r="D1300" i="1"/>
  <c r="F1300" i="1" s="1"/>
  <c r="G1300" i="1" s="1"/>
  <c r="D1301" i="1"/>
  <c r="D1302" i="1"/>
  <c r="F1302" i="1" s="1"/>
  <c r="G1302" i="1" s="1"/>
  <c r="D1303" i="1"/>
  <c r="F1303" i="1" s="1"/>
  <c r="G1303" i="1" s="1"/>
  <c r="D1304" i="1"/>
  <c r="F1304" i="1" s="1"/>
  <c r="G1304" i="1" s="1"/>
  <c r="D1305" i="1"/>
  <c r="F1305" i="1" s="1"/>
  <c r="G1305" i="1" s="1"/>
  <c r="D1306" i="1"/>
  <c r="D1307" i="1"/>
  <c r="D1308" i="1"/>
  <c r="D1309" i="1"/>
  <c r="D1310" i="1"/>
  <c r="D1311" i="1"/>
  <c r="D1312" i="1"/>
  <c r="D1313" i="1"/>
  <c r="D1314" i="1"/>
  <c r="F1314" i="1" s="1"/>
  <c r="G1314" i="1" s="1"/>
  <c r="D1315" i="1"/>
  <c r="F1315" i="1" s="1"/>
  <c r="G1315" i="1" s="1"/>
  <c r="D1316" i="1"/>
  <c r="F1316" i="1" s="1"/>
  <c r="G1316" i="1" s="1"/>
  <c r="D1317" i="1"/>
  <c r="F1317" i="1" s="1"/>
  <c r="G1317" i="1" s="1"/>
  <c r="D1318" i="1"/>
  <c r="D1319" i="1"/>
  <c r="D1320" i="1"/>
  <c r="D1321" i="1"/>
  <c r="D1322" i="1"/>
  <c r="D1323" i="1"/>
  <c r="D1324" i="1"/>
  <c r="D1325" i="1"/>
  <c r="D1326" i="1"/>
  <c r="D1327" i="1"/>
  <c r="F1327" i="1" s="1"/>
  <c r="G1327" i="1" s="1"/>
  <c r="D1328" i="1"/>
  <c r="F1328" i="1" s="1"/>
  <c r="G1328" i="1" s="1"/>
  <c r="D1329" i="1"/>
  <c r="F1329" i="1" s="1"/>
  <c r="G1329" i="1" s="1"/>
  <c r="D1330" i="1"/>
  <c r="D1331" i="1"/>
  <c r="D1332" i="1"/>
  <c r="D1333" i="1"/>
  <c r="D1334" i="1"/>
  <c r="D1335" i="1"/>
  <c r="D1336" i="1"/>
  <c r="D1337" i="1"/>
  <c r="D1338" i="1"/>
  <c r="F1338" i="1" s="1"/>
  <c r="G1338" i="1" s="1"/>
  <c r="D1339" i="1"/>
  <c r="F1339" i="1" s="1"/>
  <c r="G1339" i="1" s="1"/>
  <c r="D1340" i="1"/>
  <c r="F1340" i="1" s="1"/>
  <c r="G1340" i="1" s="1"/>
  <c r="D1341" i="1"/>
  <c r="F1341" i="1" s="1"/>
  <c r="G1341" i="1" s="1"/>
  <c r="D1342" i="1"/>
  <c r="F1342" i="1" s="1"/>
  <c r="G1342" i="1" s="1"/>
  <c r="D1343" i="1"/>
  <c r="D1344" i="1"/>
  <c r="D1345" i="1"/>
  <c r="D1346" i="1"/>
  <c r="D1347" i="1"/>
  <c r="D1348" i="1"/>
  <c r="D1349" i="1"/>
  <c r="F1349" i="1" s="1"/>
  <c r="G1349" i="1" s="1"/>
  <c r="D1350" i="1"/>
  <c r="D1351" i="1"/>
  <c r="D1352" i="1"/>
  <c r="F1352" i="1" s="1"/>
  <c r="G1352" i="1" s="1"/>
  <c r="D1353" i="1"/>
  <c r="F1353" i="1" s="1"/>
  <c r="G1353" i="1" s="1"/>
  <c r="D1354" i="1"/>
  <c r="D1355" i="1"/>
  <c r="D1356" i="1"/>
  <c r="D1357" i="1"/>
  <c r="F1357" i="1" s="1"/>
  <c r="G1357" i="1" s="1"/>
  <c r="D1358" i="1"/>
  <c r="D1359" i="1"/>
  <c r="D1360" i="1"/>
  <c r="D1361" i="1"/>
  <c r="D1362" i="1"/>
  <c r="F1362" i="1" s="1"/>
  <c r="G1362" i="1" s="1"/>
  <c r="D1363" i="1"/>
  <c r="F1363" i="1" s="1"/>
  <c r="G1363" i="1" s="1"/>
  <c r="D1364" i="1"/>
  <c r="F1364" i="1" s="1"/>
  <c r="G1364" i="1" s="1"/>
  <c r="D1365" i="1"/>
  <c r="F1365" i="1" s="1"/>
  <c r="G1365" i="1" s="1"/>
  <c r="D1366" i="1"/>
  <c r="D1367" i="1"/>
  <c r="D1368" i="1"/>
  <c r="F1368" i="1" s="1"/>
  <c r="G1368" i="1" s="1"/>
  <c r="D1369" i="1"/>
  <c r="D1370" i="1"/>
  <c r="D1371" i="1"/>
  <c r="D1372" i="1"/>
  <c r="F1372" i="1" s="1"/>
  <c r="G1372" i="1" s="1"/>
  <c r="D1373" i="1"/>
  <c r="F1373" i="1" s="1"/>
  <c r="G1373" i="1" s="1"/>
  <c r="D1374" i="1"/>
  <c r="F1374" i="1" s="1"/>
  <c r="G1374" i="1" s="1"/>
  <c r="D1375" i="1"/>
  <c r="F1375" i="1" s="1"/>
  <c r="G1375" i="1" s="1"/>
  <c r="D1376" i="1"/>
  <c r="F1376" i="1" s="1"/>
  <c r="G1376" i="1" s="1"/>
  <c r="D1377" i="1"/>
  <c r="F1377" i="1" s="1"/>
  <c r="G1377" i="1" s="1"/>
  <c r="D1378" i="1"/>
  <c r="F1378" i="1" s="1"/>
  <c r="G1378" i="1" s="1"/>
  <c r="D1379" i="1"/>
  <c r="D1380" i="1"/>
  <c r="D1381" i="1"/>
  <c r="D1382" i="1"/>
  <c r="D1383" i="1"/>
  <c r="D1384" i="1"/>
  <c r="D1385" i="1"/>
  <c r="D1386" i="1"/>
  <c r="F1386" i="1" s="1"/>
  <c r="G1386" i="1" s="1"/>
  <c r="D1387" i="1"/>
  <c r="F1387" i="1" s="1"/>
  <c r="G1387" i="1" s="1"/>
  <c r="D1388" i="1"/>
  <c r="F1388" i="1" s="1"/>
  <c r="G1388" i="1" s="1"/>
  <c r="D1389" i="1"/>
  <c r="F1389" i="1" s="1"/>
  <c r="G1389" i="1" s="1"/>
  <c r="D1390" i="1"/>
  <c r="D1391" i="1"/>
  <c r="D1392" i="1"/>
  <c r="D1393" i="1"/>
  <c r="D1394" i="1"/>
  <c r="D1395" i="1"/>
  <c r="D1396" i="1"/>
  <c r="D497" i="1"/>
  <c r="F497" i="1" s="1"/>
  <c r="G497" i="1" s="1"/>
  <c r="AH6" i="1"/>
  <c r="AK6" i="1" s="1"/>
  <c r="AH7" i="1"/>
  <c r="F667" i="1"/>
  <c r="G667" i="1" s="1"/>
  <c r="F715" i="1"/>
  <c r="G715" i="1" s="1"/>
  <c r="F1082" i="1"/>
  <c r="G1082" i="1" s="1"/>
  <c r="F1358" i="1"/>
  <c r="G1358" i="1" s="1"/>
  <c r="F498" i="1"/>
  <c r="G498" i="1" s="1"/>
  <c r="F510" i="1"/>
  <c r="G510" i="1" s="1"/>
  <c r="F574" i="1"/>
  <c r="G574" i="1" s="1"/>
  <c r="F586" i="1"/>
  <c r="G586" i="1" s="1"/>
  <c r="F594" i="1"/>
  <c r="G594" i="1" s="1"/>
  <c r="F618" i="1"/>
  <c r="G618" i="1" s="1"/>
  <c r="F642" i="1"/>
  <c r="G642" i="1" s="1"/>
  <c r="F647" i="1"/>
  <c r="G647" i="1" s="1"/>
  <c r="F648" i="1"/>
  <c r="G648" i="1" s="1"/>
  <c r="F780" i="1"/>
  <c r="G780" i="1" s="1"/>
  <c r="F798" i="1"/>
  <c r="G798" i="1" s="1"/>
  <c r="F966" i="1"/>
  <c r="G966" i="1" s="1"/>
  <c r="F1152" i="1"/>
  <c r="G1152" i="1" s="1"/>
  <c r="F1367" i="1"/>
  <c r="G1367" i="1" s="1"/>
  <c r="F512" i="1"/>
  <c r="G512" i="1" s="1"/>
  <c r="F513" i="1"/>
  <c r="G513" i="1" s="1"/>
  <c r="F523" i="1"/>
  <c r="G523" i="1" s="1"/>
  <c r="F524" i="1"/>
  <c r="G524" i="1" s="1"/>
  <c r="F525" i="1"/>
  <c r="G525" i="1" s="1"/>
  <c r="F561" i="1"/>
  <c r="G561" i="1" s="1"/>
  <c r="F562" i="1"/>
  <c r="G562" i="1" s="1"/>
  <c r="F679" i="1"/>
  <c r="G679" i="1" s="1"/>
  <c r="F691" i="1"/>
  <c r="G691" i="1" s="1"/>
  <c r="F1122" i="1"/>
  <c r="G1122" i="1" s="1"/>
  <c r="F1164" i="1"/>
  <c r="G1164" i="1" s="1"/>
  <c r="AJ18" i="1"/>
  <c r="AJ17" i="1"/>
  <c r="AJ16" i="1"/>
  <c r="AJ15" i="1"/>
  <c r="AJ14" i="1"/>
  <c r="AJ13" i="1"/>
  <c r="AJ12" i="1"/>
  <c r="AJ11" i="1"/>
  <c r="AG18" i="1"/>
  <c r="AG17" i="1"/>
  <c r="AG16" i="1"/>
  <c r="AG15" i="1"/>
  <c r="AG14" i="1"/>
  <c r="AG13" i="1"/>
  <c r="AG12" i="1"/>
  <c r="AG11" i="1"/>
  <c r="AI5" i="1"/>
  <c r="AH5" i="1" s="1"/>
  <c r="AK5" i="1" s="1"/>
  <c r="AI4" i="1"/>
  <c r="AH4" i="1" s="1"/>
  <c r="AK4" i="1" s="1"/>
  <c r="AI3" i="1"/>
  <c r="AH3" i="1" s="1"/>
  <c r="AK3" i="1" s="1"/>
  <c r="AI2" i="1"/>
  <c r="AH2" i="1" s="1"/>
  <c r="AK2" i="1" s="1"/>
  <c r="H2" i="1"/>
  <c r="D5" i="1" s="1"/>
  <c r="C5" i="1" s="1"/>
  <c r="F569" i="1" l="1"/>
  <c r="G569" i="1" s="1"/>
  <c r="F507" i="1"/>
  <c r="G507" i="1" s="1"/>
  <c r="F649" i="1"/>
  <c r="G649" i="1" s="1"/>
  <c r="F613" i="1"/>
  <c r="G613" i="1" s="1"/>
  <c r="F565" i="1"/>
  <c r="G565" i="1" s="1"/>
  <c r="F516" i="1"/>
  <c r="G516" i="1" s="1"/>
  <c r="F749" i="1"/>
  <c r="G749" i="1" s="1"/>
  <c r="F722" i="1"/>
  <c r="G722" i="1" s="1"/>
  <c r="F975" i="1"/>
  <c r="G975" i="1" s="1"/>
  <c r="F1355" i="1"/>
  <c r="G1355" i="1" s="1"/>
  <c r="F1235" i="1"/>
  <c r="G1235" i="1" s="1"/>
  <c r="F1031" i="1"/>
  <c r="G1031" i="1" s="1"/>
  <c r="F983" i="1"/>
  <c r="G983" i="1" s="1"/>
  <c r="F945" i="1"/>
  <c r="G945" i="1" s="1"/>
  <c r="F933" i="1"/>
  <c r="G933" i="1" s="1"/>
  <c r="F921" i="1"/>
  <c r="G921" i="1" s="1"/>
  <c r="F909" i="1"/>
  <c r="G909" i="1" s="1"/>
  <c r="F897" i="1"/>
  <c r="G897" i="1" s="1"/>
  <c r="F873" i="1"/>
  <c r="G873" i="1" s="1"/>
  <c r="F861" i="1"/>
  <c r="G861" i="1" s="1"/>
  <c r="F849" i="1"/>
  <c r="G849" i="1" s="1"/>
  <c r="F837" i="1"/>
  <c r="G837" i="1" s="1"/>
  <c r="F825" i="1"/>
  <c r="G825" i="1" s="1"/>
  <c r="F813" i="1"/>
  <c r="G813" i="1" s="1"/>
  <c r="F801" i="1"/>
  <c r="G801" i="1" s="1"/>
  <c r="F789" i="1"/>
  <c r="G789" i="1" s="1"/>
  <c r="F932" i="1"/>
  <c r="G932" i="1" s="1"/>
  <c r="F920" i="1"/>
  <c r="G920" i="1" s="1"/>
  <c r="F908" i="1"/>
  <c r="G908" i="1" s="1"/>
  <c r="F896" i="1"/>
  <c r="G896" i="1" s="1"/>
  <c r="F884" i="1"/>
  <c r="G884" i="1" s="1"/>
  <c r="F872" i="1"/>
  <c r="G872" i="1" s="1"/>
  <c r="F860" i="1"/>
  <c r="G860" i="1" s="1"/>
  <c r="F836" i="1"/>
  <c r="G836" i="1" s="1"/>
  <c r="F824" i="1"/>
  <c r="G824" i="1" s="1"/>
  <c r="F812" i="1"/>
  <c r="G812" i="1" s="1"/>
  <c r="F800" i="1"/>
  <c r="G800" i="1" s="1"/>
  <c r="F788" i="1"/>
  <c r="G788" i="1" s="1"/>
  <c r="F931" i="1"/>
  <c r="G931" i="1" s="1"/>
  <c r="F919" i="1"/>
  <c r="G919" i="1" s="1"/>
  <c r="F907" i="1"/>
  <c r="G907" i="1" s="1"/>
  <c r="F895" i="1"/>
  <c r="G895" i="1" s="1"/>
  <c r="F883" i="1"/>
  <c r="G883" i="1" s="1"/>
  <c r="F871" i="1"/>
  <c r="G871" i="1" s="1"/>
  <c r="F859" i="1"/>
  <c r="G859" i="1" s="1"/>
  <c r="F847" i="1"/>
  <c r="G847" i="1" s="1"/>
  <c r="F835" i="1"/>
  <c r="G835" i="1" s="1"/>
  <c r="F811" i="1"/>
  <c r="G811" i="1" s="1"/>
  <c r="F799" i="1"/>
  <c r="G799" i="1" s="1"/>
  <c r="F787" i="1"/>
  <c r="G787" i="1" s="1"/>
  <c r="F942" i="1"/>
  <c r="G942" i="1" s="1"/>
  <c r="F930" i="1"/>
  <c r="G930" i="1" s="1"/>
  <c r="F918" i="1"/>
  <c r="G918" i="1" s="1"/>
  <c r="F906" i="1"/>
  <c r="G906" i="1" s="1"/>
  <c r="F894" i="1"/>
  <c r="G894" i="1" s="1"/>
  <c r="F882" i="1"/>
  <c r="G882" i="1" s="1"/>
  <c r="F870" i="1"/>
  <c r="G870" i="1" s="1"/>
  <c r="F858" i="1"/>
  <c r="G858" i="1" s="1"/>
  <c r="F846" i="1"/>
  <c r="G846" i="1" s="1"/>
  <c r="F834" i="1"/>
  <c r="G834" i="1" s="1"/>
  <c r="F810" i="1"/>
  <c r="G810" i="1" s="1"/>
  <c r="F786" i="1"/>
  <c r="G786" i="1" s="1"/>
  <c r="F869" i="1"/>
  <c r="G869" i="1" s="1"/>
  <c r="F785" i="1"/>
  <c r="G785" i="1" s="1"/>
  <c r="F1379" i="1"/>
  <c r="G1379" i="1" s="1"/>
  <c r="F1319" i="1"/>
  <c r="G1319" i="1" s="1"/>
  <c r="F1307" i="1"/>
  <c r="G1307" i="1" s="1"/>
  <c r="F1283" i="1"/>
  <c r="G1283" i="1" s="1"/>
  <c r="F1247" i="1"/>
  <c r="G1247" i="1" s="1"/>
  <c r="F1211" i="1"/>
  <c r="G1211" i="1" s="1"/>
  <c r="F1187" i="1"/>
  <c r="G1187" i="1" s="1"/>
  <c r="F1163" i="1"/>
  <c r="G1163" i="1" s="1"/>
  <c r="F1127" i="1"/>
  <c r="G1127" i="1" s="1"/>
  <c r="F1103" i="1"/>
  <c r="G1103" i="1" s="1"/>
  <c r="F1079" i="1"/>
  <c r="G1079" i="1" s="1"/>
  <c r="F947" i="1"/>
  <c r="G947" i="1" s="1"/>
  <c r="F923" i="1"/>
  <c r="G923" i="1" s="1"/>
  <c r="F887" i="1"/>
  <c r="G887" i="1" s="1"/>
  <c r="F863" i="1"/>
  <c r="G863" i="1" s="1"/>
  <c r="F851" i="1"/>
  <c r="G851" i="1" s="1"/>
  <c r="F827" i="1"/>
  <c r="G827" i="1" s="1"/>
  <c r="F803" i="1"/>
  <c r="G803" i="1" s="1"/>
  <c r="F767" i="1"/>
  <c r="G767" i="1" s="1"/>
  <c r="F671" i="1"/>
  <c r="G671" i="1" s="1"/>
  <c r="F659" i="1"/>
  <c r="G659" i="1" s="1"/>
  <c r="F635" i="1"/>
  <c r="G635" i="1" s="1"/>
  <c r="F611" i="1"/>
  <c r="G611" i="1" s="1"/>
  <c r="F599" i="1"/>
  <c r="G599" i="1" s="1"/>
  <c r="F575" i="1"/>
  <c r="G575" i="1" s="1"/>
  <c r="F563" i="1"/>
  <c r="G563" i="1" s="1"/>
  <c r="F539" i="1"/>
  <c r="G539" i="1" s="1"/>
  <c r="F527" i="1"/>
  <c r="G527" i="1" s="1"/>
  <c r="AH15" i="1"/>
  <c r="AK15" i="1" s="1"/>
  <c r="F965" i="1"/>
  <c r="G965" i="1" s="1"/>
  <c r="F953" i="1"/>
  <c r="G953" i="1" s="1"/>
  <c r="F941" i="1"/>
  <c r="G941" i="1" s="1"/>
  <c r="F929" i="1"/>
  <c r="G929" i="1" s="1"/>
  <c r="F917" i="1"/>
  <c r="G917" i="1" s="1"/>
  <c r="F905" i="1"/>
  <c r="G905" i="1" s="1"/>
  <c r="F893" i="1"/>
  <c r="G893" i="1" s="1"/>
  <c r="F881" i="1"/>
  <c r="G881" i="1" s="1"/>
  <c r="F857" i="1"/>
  <c r="G857" i="1" s="1"/>
  <c r="F845" i="1"/>
  <c r="G845" i="1" s="1"/>
  <c r="F833" i="1"/>
  <c r="G833" i="1" s="1"/>
  <c r="F821" i="1"/>
  <c r="G821" i="1" s="1"/>
  <c r="F809" i="1"/>
  <c r="G809" i="1" s="1"/>
  <c r="F797" i="1"/>
  <c r="G797" i="1" s="1"/>
  <c r="F773" i="1"/>
  <c r="G773" i="1" s="1"/>
  <c r="F677" i="1"/>
  <c r="G677" i="1" s="1"/>
  <c r="F1061" i="1"/>
  <c r="G1061" i="1" s="1"/>
  <c r="F1049" i="1"/>
  <c r="G1049" i="1" s="1"/>
  <c r="F1037" i="1"/>
  <c r="G1037" i="1" s="1"/>
  <c r="F1025" i="1"/>
  <c r="G1025" i="1" s="1"/>
  <c r="F1001" i="1"/>
  <c r="G1001" i="1" s="1"/>
  <c r="F989" i="1"/>
  <c r="G989" i="1" s="1"/>
  <c r="F977" i="1"/>
  <c r="G977" i="1" s="1"/>
  <c r="F743" i="1"/>
  <c r="G743" i="1" s="1"/>
  <c r="F719" i="1"/>
  <c r="G719" i="1" s="1"/>
  <c r="F707" i="1"/>
  <c r="G707" i="1" s="1"/>
  <c r="F683" i="1"/>
  <c r="G683" i="1" s="1"/>
  <c r="F1385" i="1"/>
  <c r="G1385" i="1" s="1"/>
  <c r="F1361" i="1"/>
  <c r="G1361" i="1" s="1"/>
  <c r="F1337" i="1"/>
  <c r="G1337" i="1" s="1"/>
  <c r="F1325" i="1"/>
  <c r="G1325" i="1" s="1"/>
  <c r="F1313" i="1"/>
  <c r="G1313" i="1" s="1"/>
  <c r="F1301" i="1"/>
  <c r="G1301" i="1" s="1"/>
  <c r="F1289" i="1"/>
  <c r="G1289" i="1" s="1"/>
  <c r="F1277" i="1"/>
  <c r="G1277" i="1" s="1"/>
  <c r="F1265" i="1"/>
  <c r="G1265" i="1" s="1"/>
  <c r="F1253" i="1"/>
  <c r="G1253" i="1" s="1"/>
  <c r="F1241" i="1"/>
  <c r="G1241" i="1" s="1"/>
  <c r="F1229" i="1"/>
  <c r="G1229" i="1" s="1"/>
  <c r="F1217" i="1"/>
  <c r="G1217" i="1" s="1"/>
  <c r="F1205" i="1"/>
  <c r="G1205" i="1" s="1"/>
  <c r="F1193" i="1"/>
  <c r="G1193" i="1" s="1"/>
  <c r="F1181" i="1"/>
  <c r="G1181" i="1" s="1"/>
  <c r="F1169" i="1"/>
  <c r="G1169" i="1" s="1"/>
  <c r="F1145" i="1"/>
  <c r="G1145" i="1" s="1"/>
  <c r="F1133" i="1"/>
  <c r="G1133" i="1" s="1"/>
  <c r="F1121" i="1"/>
  <c r="G1121" i="1" s="1"/>
  <c r="F1109" i="1"/>
  <c r="G1109" i="1" s="1"/>
  <c r="F1097" i="1"/>
  <c r="G1097" i="1" s="1"/>
  <c r="F1085" i="1"/>
  <c r="G1085" i="1" s="1"/>
  <c r="F1073" i="1"/>
  <c r="G1073" i="1" s="1"/>
  <c r="F1013" i="1"/>
  <c r="G1013" i="1" s="1"/>
  <c r="F1055" i="1"/>
  <c r="G1055" i="1" s="1"/>
  <c r="F1019" i="1"/>
  <c r="G1019" i="1" s="1"/>
  <c r="F995" i="1"/>
  <c r="G995" i="1" s="1"/>
  <c r="F971" i="1"/>
  <c r="G971" i="1" s="1"/>
  <c r="F959" i="1"/>
  <c r="G959" i="1" s="1"/>
  <c r="F761" i="1"/>
  <c r="G761" i="1" s="1"/>
  <c r="F737" i="1"/>
  <c r="G737" i="1" s="1"/>
  <c r="F725" i="1"/>
  <c r="G725" i="1" s="1"/>
  <c r="F713" i="1"/>
  <c r="G713" i="1" s="1"/>
  <c r="F701" i="1"/>
  <c r="G701" i="1" s="1"/>
  <c r="F689" i="1"/>
  <c r="G689" i="1" s="1"/>
  <c r="F665" i="1"/>
  <c r="G665" i="1" s="1"/>
  <c r="F653" i="1"/>
  <c r="G653" i="1" s="1"/>
  <c r="F641" i="1"/>
  <c r="G641" i="1" s="1"/>
  <c r="F629" i="1"/>
  <c r="G629" i="1" s="1"/>
  <c r="F617" i="1"/>
  <c r="G617" i="1" s="1"/>
  <c r="F605" i="1"/>
  <c r="G605" i="1" s="1"/>
  <c r="F593" i="1"/>
  <c r="G593" i="1" s="1"/>
  <c r="F581" i="1"/>
  <c r="G581" i="1" s="1"/>
  <c r="F557" i="1"/>
  <c r="G557" i="1" s="1"/>
  <c r="F545" i="1"/>
  <c r="G545" i="1" s="1"/>
  <c r="F533" i="1"/>
  <c r="G533" i="1" s="1"/>
  <c r="F521" i="1"/>
  <c r="G521" i="1" s="1"/>
  <c r="F509" i="1"/>
  <c r="G509" i="1" s="1"/>
  <c r="F1396" i="1"/>
  <c r="G1396" i="1" s="1"/>
  <c r="F1384" i="1"/>
  <c r="G1384" i="1" s="1"/>
  <c r="F1360" i="1"/>
  <c r="G1360" i="1" s="1"/>
  <c r="F1348" i="1"/>
  <c r="G1348" i="1" s="1"/>
  <c r="F1336" i="1"/>
  <c r="G1336" i="1" s="1"/>
  <c r="F1324" i="1"/>
  <c r="G1324" i="1" s="1"/>
  <c r="F1312" i="1"/>
  <c r="G1312" i="1" s="1"/>
  <c r="F1288" i="1"/>
  <c r="G1288" i="1" s="1"/>
  <c r="F1276" i="1"/>
  <c r="G1276" i="1" s="1"/>
  <c r="F1264" i="1"/>
  <c r="G1264" i="1" s="1"/>
  <c r="F1252" i="1"/>
  <c r="G1252" i="1" s="1"/>
  <c r="F1240" i="1"/>
  <c r="G1240" i="1" s="1"/>
  <c r="F1228" i="1"/>
  <c r="G1228" i="1" s="1"/>
  <c r="F1204" i="1"/>
  <c r="G1204" i="1" s="1"/>
  <c r="F1192" i="1"/>
  <c r="G1192" i="1" s="1"/>
  <c r="F1180" i="1"/>
  <c r="G1180" i="1" s="1"/>
  <c r="F1168" i="1"/>
  <c r="G1168" i="1" s="1"/>
  <c r="F1156" i="1"/>
  <c r="G1156" i="1" s="1"/>
  <c r="F1144" i="1"/>
  <c r="G1144" i="1" s="1"/>
  <c r="F1132" i="1"/>
  <c r="G1132" i="1" s="1"/>
  <c r="F1120" i="1"/>
  <c r="G1120" i="1" s="1"/>
  <c r="F1108" i="1"/>
  <c r="G1108" i="1" s="1"/>
  <c r="F1096" i="1"/>
  <c r="G1096" i="1" s="1"/>
  <c r="F1084" i="1"/>
  <c r="G1084" i="1" s="1"/>
  <c r="F1072" i="1"/>
  <c r="G1072" i="1" s="1"/>
  <c r="F1060" i="1"/>
  <c r="G1060" i="1" s="1"/>
  <c r="F1048" i="1"/>
  <c r="G1048" i="1" s="1"/>
  <c r="F1036" i="1"/>
  <c r="G1036" i="1" s="1"/>
  <c r="F1024" i="1"/>
  <c r="G1024" i="1" s="1"/>
  <c r="F1012" i="1"/>
  <c r="G1012" i="1" s="1"/>
  <c r="F1000" i="1"/>
  <c r="G1000" i="1" s="1"/>
  <c r="F988" i="1"/>
  <c r="G988" i="1" s="1"/>
  <c r="F964" i="1"/>
  <c r="G964" i="1" s="1"/>
  <c r="F940" i="1"/>
  <c r="G940" i="1" s="1"/>
  <c r="F928" i="1"/>
  <c r="G928" i="1" s="1"/>
  <c r="F916" i="1"/>
  <c r="G916" i="1" s="1"/>
  <c r="F892" i="1"/>
  <c r="G892" i="1" s="1"/>
  <c r="F880" i="1"/>
  <c r="G880" i="1" s="1"/>
  <c r="F868" i="1"/>
  <c r="G868" i="1" s="1"/>
  <c r="F856" i="1"/>
  <c r="G856" i="1" s="1"/>
  <c r="F844" i="1"/>
  <c r="G844" i="1" s="1"/>
  <c r="F832" i="1"/>
  <c r="G832" i="1" s="1"/>
  <c r="F820" i="1"/>
  <c r="G820" i="1" s="1"/>
  <c r="F808" i="1"/>
  <c r="G808" i="1" s="1"/>
  <c r="F796" i="1"/>
  <c r="G796" i="1" s="1"/>
  <c r="F784" i="1"/>
  <c r="G784" i="1" s="1"/>
  <c r="F772" i="1"/>
  <c r="G772" i="1" s="1"/>
  <c r="F760" i="1"/>
  <c r="G760" i="1" s="1"/>
  <c r="F748" i="1"/>
  <c r="G748" i="1" s="1"/>
  <c r="F736" i="1"/>
  <c r="G736" i="1" s="1"/>
  <c r="F724" i="1"/>
  <c r="G724" i="1" s="1"/>
  <c r="F712" i="1"/>
  <c r="G712" i="1" s="1"/>
  <c r="F700" i="1"/>
  <c r="G700" i="1" s="1"/>
  <c r="F688" i="1"/>
  <c r="G688" i="1" s="1"/>
  <c r="F676" i="1"/>
  <c r="G676" i="1" s="1"/>
  <c r="F664" i="1"/>
  <c r="G664" i="1" s="1"/>
  <c r="F652" i="1"/>
  <c r="G652" i="1" s="1"/>
  <c r="F640" i="1"/>
  <c r="G640" i="1" s="1"/>
  <c r="F628" i="1"/>
  <c r="G628" i="1" s="1"/>
  <c r="F616" i="1"/>
  <c r="G616" i="1" s="1"/>
  <c r="F604" i="1"/>
  <c r="G604" i="1" s="1"/>
  <c r="F592" i="1"/>
  <c r="G592" i="1" s="1"/>
  <c r="F580" i="1"/>
  <c r="G580" i="1" s="1"/>
  <c r="F568" i="1"/>
  <c r="G568" i="1" s="1"/>
  <c r="F556" i="1"/>
  <c r="G556" i="1" s="1"/>
  <c r="F544" i="1"/>
  <c r="G544" i="1" s="1"/>
  <c r="F532" i="1"/>
  <c r="G532" i="1" s="1"/>
  <c r="F520" i="1"/>
  <c r="G520" i="1" s="1"/>
  <c r="F508" i="1"/>
  <c r="G508" i="1" s="1"/>
  <c r="F1395" i="1"/>
  <c r="G1395" i="1" s="1"/>
  <c r="F1383" i="1"/>
  <c r="G1383" i="1" s="1"/>
  <c r="F1347" i="1"/>
  <c r="G1347" i="1" s="1"/>
  <c r="F1335" i="1"/>
  <c r="G1335" i="1" s="1"/>
  <c r="F1323" i="1"/>
  <c r="G1323" i="1" s="1"/>
  <c r="F1311" i="1"/>
  <c r="G1311" i="1" s="1"/>
  <c r="F1287" i="1"/>
  <c r="G1287" i="1" s="1"/>
  <c r="F1275" i="1"/>
  <c r="G1275" i="1" s="1"/>
  <c r="F1263" i="1"/>
  <c r="G1263" i="1" s="1"/>
  <c r="F1251" i="1"/>
  <c r="G1251" i="1" s="1"/>
  <c r="F1239" i="1"/>
  <c r="G1239" i="1" s="1"/>
  <c r="F1227" i="1"/>
  <c r="G1227" i="1" s="1"/>
  <c r="F1215" i="1"/>
  <c r="G1215" i="1" s="1"/>
  <c r="F1203" i="1"/>
  <c r="G1203" i="1" s="1"/>
  <c r="F1191" i="1"/>
  <c r="G1191" i="1" s="1"/>
  <c r="F1179" i="1"/>
  <c r="G1179" i="1" s="1"/>
  <c r="F1167" i="1"/>
  <c r="G1167" i="1" s="1"/>
  <c r="F1155" i="1"/>
  <c r="G1155" i="1" s="1"/>
  <c r="F1143" i="1"/>
  <c r="G1143" i="1" s="1"/>
  <c r="F1131" i="1"/>
  <c r="G1131" i="1" s="1"/>
  <c r="F1119" i="1"/>
  <c r="G1119" i="1" s="1"/>
  <c r="F1107" i="1"/>
  <c r="G1107" i="1" s="1"/>
  <c r="F1095" i="1"/>
  <c r="G1095" i="1" s="1"/>
  <c r="F1071" i="1"/>
  <c r="G1071" i="1" s="1"/>
  <c r="F1059" i="1"/>
  <c r="G1059" i="1" s="1"/>
  <c r="F1047" i="1"/>
  <c r="G1047" i="1" s="1"/>
  <c r="F1035" i="1"/>
  <c r="G1035" i="1" s="1"/>
  <c r="F1023" i="1"/>
  <c r="G1023" i="1" s="1"/>
  <c r="F1011" i="1"/>
  <c r="G1011" i="1" s="1"/>
  <c r="F999" i="1"/>
  <c r="G999" i="1" s="1"/>
  <c r="F987" i="1"/>
  <c r="G987" i="1" s="1"/>
  <c r="F963" i="1"/>
  <c r="G963" i="1" s="1"/>
  <c r="F951" i="1"/>
  <c r="G951" i="1" s="1"/>
  <c r="F939" i="1"/>
  <c r="G939" i="1" s="1"/>
  <c r="F927" i="1"/>
  <c r="G927" i="1" s="1"/>
  <c r="F915" i="1"/>
  <c r="G915" i="1" s="1"/>
  <c r="F891" i="1"/>
  <c r="G891" i="1" s="1"/>
  <c r="F879" i="1"/>
  <c r="G879" i="1" s="1"/>
  <c r="F867" i="1"/>
  <c r="G867" i="1" s="1"/>
  <c r="F855" i="1"/>
  <c r="G855" i="1" s="1"/>
  <c r="F843" i="1"/>
  <c r="G843" i="1" s="1"/>
  <c r="F831" i="1"/>
  <c r="G831" i="1" s="1"/>
  <c r="F819" i="1"/>
  <c r="G819" i="1" s="1"/>
  <c r="F807" i="1"/>
  <c r="G807" i="1" s="1"/>
  <c r="F795" i="1"/>
  <c r="G795" i="1" s="1"/>
  <c r="F783" i="1"/>
  <c r="G783" i="1" s="1"/>
  <c r="F771" i="1"/>
  <c r="G771" i="1" s="1"/>
  <c r="F759" i="1"/>
  <c r="G759" i="1" s="1"/>
  <c r="F747" i="1"/>
  <c r="G747" i="1" s="1"/>
  <c r="F735" i="1"/>
  <c r="G735" i="1" s="1"/>
  <c r="F723" i="1"/>
  <c r="G723" i="1" s="1"/>
  <c r="F711" i="1"/>
  <c r="G711" i="1" s="1"/>
  <c r="F699" i="1"/>
  <c r="G699" i="1" s="1"/>
  <c r="F687" i="1"/>
  <c r="G687" i="1" s="1"/>
  <c r="F675" i="1"/>
  <c r="G675" i="1" s="1"/>
  <c r="F663" i="1"/>
  <c r="G663" i="1" s="1"/>
  <c r="F651" i="1"/>
  <c r="G651" i="1" s="1"/>
  <c r="F639" i="1"/>
  <c r="G639" i="1" s="1"/>
  <c r="F627" i="1"/>
  <c r="G627" i="1" s="1"/>
  <c r="F615" i="1"/>
  <c r="G615" i="1" s="1"/>
  <c r="F603" i="1"/>
  <c r="G603" i="1" s="1"/>
  <c r="F591" i="1"/>
  <c r="G591" i="1" s="1"/>
  <c r="F579" i="1"/>
  <c r="G579" i="1" s="1"/>
  <c r="F567" i="1"/>
  <c r="G567" i="1" s="1"/>
  <c r="F555" i="1"/>
  <c r="G555" i="1" s="1"/>
  <c r="F543" i="1"/>
  <c r="G543" i="1" s="1"/>
  <c r="F531" i="1"/>
  <c r="G531" i="1" s="1"/>
  <c r="F519" i="1"/>
  <c r="G519" i="1" s="1"/>
  <c r="F1394" i="1"/>
  <c r="G1394" i="1" s="1"/>
  <c r="F1382" i="1"/>
  <c r="G1382" i="1" s="1"/>
  <c r="F1370" i="1"/>
  <c r="G1370" i="1" s="1"/>
  <c r="F1346" i="1"/>
  <c r="G1346" i="1" s="1"/>
  <c r="F1334" i="1"/>
  <c r="G1334" i="1" s="1"/>
  <c r="F1322" i="1"/>
  <c r="G1322" i="1" s="1"/>
  <c r="F1310" i="1"/>
  <c r="G1310" i="1" s="1"/>
  <c r="F1286" i="1"/>
  <c r="G1286" i="1" s="1"/>
  <c r="F1274" i="1"/>
  <c r="G1274" i="1" s="1"/>
  <c r="F1262" i="1"/>
  <c r="G1262" i="1" s="1"/>
  <c r="F1250" i="1"/>
  <c r="G1250" i="1" s="1"/>
  <c r="F1238" i="1"/>
  <c r="G1238" i="1" s="1"/>
  <c r="F1226" i="1"/>
  <c r="G1226" i="1" s="1"/>
  <c r="F1214" i="1"/>
  <c r="G1214" i="1" s="1"/>
  <c r="F1202" i="1"/>
  <c r="G1202" i="1" s="1"/>
  <c r="F1190" i="1"/>
  <c r="G1190" i="1" s="1"/>
  <c r="F1178" i="1"/>
  <c r="G1178" i="1" s="1"/>
  <c r="F1166" i="1"/>
  <c r="G1166" i="1" s="1"/>
  <c r="F1142" i="1"/>
  <c r="G1142" i="1" s="1"/>
  <c r="F1130" i="1"/>
  <c r="G1130" i="1" s="1"/>
  <c r="F1118" i="1"/>
  <c r="G1118" i="1" s="1"/>
  <c r="F1106" i="1"/>
  <c r="G1106" i="1" s="1"/>
  <c r="F1094" i="1"/>
  <c r="G1094" i="1" s="1"/>
  <c r="F1058" i="1"/>
  <c r="G1058" i="1" s="1"/>
  <c r="F1046" i="1"/>
  <c r="G1046" i="1" s="1"/>
  <c r="F1010" i="1"/>
  <c r="G1010" i="1" s="1"/>
  <c r="F998" i="1"/>
  <c r="G998" i="1" s="1"/>
  <c r="F986" i="1"/>
  <c r="G986" i="1" s="1"/>
  <c r="F974" i="1"/>
  <c r="G974" i="1" s="1"/>
  <c r="F962" i="1"/>
  <c r="G962" i="1" s="1"/>
  <c r="F950" i="1"/>
  <c r="G950" i="1" s="1"/>
  <c r="F938" i="1"/>
  <c r="G938" i="1" s="1"/>
  <c r="F926" i="1"/>
  <c r="G926" i="1" s="1"/>
  <c r="F914" i="1"/>
  <c r="G914" i="1" s="1"/>
  <c r="F890" i="1"/>
  <c r="G890" i="1" s="1"/>
  <c r="F878" i="1"/>
  <c r="G878" i="1" s="1"/>
  <c r="F866" i="1"/>
  <c r="G866" i="1" s="1"/>
  <c r="F854" i="1"/>
  <c r="G854" i="1" s="1"/>
  <c r="F842" i="1"/>
  <c r="G842" i="1" s="1"/>
  <c r="F830" i="1"/>
  <c r="G830" i="1" s="1"/>
  <c r="F818" i="1"/>
  <c r="G818" i="1" s="1"/>
  <c r="F806" i="1"/>
  <c r="G806" i="1" s="1"/>
  <c r="F794" i="1"/>
  <c r="G794" i="1" s="1"/>
  <c r="F770" i="1"/>
  <c r="G770" i="1" s="1"/>
  <c r="F758" i="1"/>
  <c r="G758" i="1" s="1"/>
  <c r="F746" i="1"/>
  <c r="G746" i="1" s="1"/>
  <c r="F734" i="1"/>
  <c r="G734" i="1" s="1"/>
  <c r="F710" i="1"/>
  <c r="G710" i="1" s="1"/>
  <c r="F698" i="1"/>
  <c r="G698" i="1" s="1"/>
  <c r="F686" i="1"/>
  <c r="G686" i="1" s="1"/>
  <c r="F674" i="1"/>
  <c r="G674" i="1" s="1"/>
  <c r="F662" i="1"/>
  <c r="G662" i="1" s="1"/>
  <c r="F650" i="1"/>
  <c r="G650" i="1" s="1"/>
  <c r="F638" i="1"/>
  <c r="G638" i="1" s="1"/>
  <c r="F626" i="1"/>
  <c r="G626" i="1" s="1"/>
  <c r="F614" i="1"/>
  <c r="G614" i="1" s="1"/>
  <c r="F602" i="1"/>
  <c r="G602" i="1" s="1"/>
  <c r="F590" i="1"/>
  <c r="G590" i="1" s="1"/>
  <c r="F578" i="1"/>
  <c r="G578" i="1" s="1"/>
  <c r="F566" i="1"/>
  <c r="G566" i="1" s="1"/>
  <c r="F554" i="1"/>
  <c r="G554" i="1" s="1"/>
  <c r="F542" i="1"/>
  <c r="G542" i="1" s="1"/>
  <c r="F530" i="1"/>
  <c r="G530" i="1" s="1"/>
  <c r="F518" i="1"/>
  <c r="G518" i="1" s="1"/>
  <c r="F1392" i="1"/>
  <c r="G1392" i="1" s="1"/>
  <c r="F1380" i="1"/>
  <c r="G1380" i="1" s="1"/>
  <c r="F1356" i="1"/>
  <c r="G1356" i="1" s="1"/>
  <c r="F1332" i="1"/>
  <c r="G1332" i="1" s="1"/>
  <c r="F1320" i="1"/>
  <c r="G1320" i="1" s="1"/>
  <c r="F1308" i="1"/>
  <c r="G1308" i="1" s="1"/>
  <c r="F1284" i="1"/>
  <c r="G1284" i="1" s="1"/>
  <c r="F1260" i="1"/>
  <c r="G1260" i="1" s="1"/>
  <c r="F1248" i="1"/>
  <c r="G1248" i="1" s="1"/>
  <c r="F1236" i="1"/>
  <c r="G1236" i="1" s="1"/>
  <c r="F1224" i="1"/>
  <c r="G1224" i="1" s="1"/>
  <c r="F1212" i="1"/>
  <c r="G1212" i="1" s="1"/>
  <c r="F1188" i="1"/>
  <c r="G1188" i="1" s="1"/>
  <c r="F1140" i="1"/>
  <c r="G1140" i="1" s="1"/>
  <c r="F1116" i="1"/>
  <c r="G1116" i="1" s="1"/>
  <c r="F1104" i="1"/>
  <c r="G1104" i="1" s="1"/>
  <c r="F1092" i="1"/>
  <c r="G1092" i="1" s="1"/>
  <c r="F1080" i="1"/>
  <c r="G1080" i="1" s="1"/>
  <c r="F1068" i="1"/>
  <c r="G1068" i="1" s="1"/>
  <c r="F1056" i="1"/>
  <c r="G1056" i="1" s="1"/>
  <c r="F1032" i="1"/>
  <c r="G1032" i="1" s="1"/>
  <c r="F1020" i="1"/>
  <c r="G1020" i="1" s="1"/>
  <c r="F1008" i="1"/>
  <c r="G1008" i="1" s="1"/>
  <c r="F996" i="1"/>
  <c r="G996" i="1" s="1"/>
  <c r="F984" i="1"/>
  <c r="G984" i="1" s="1"/>
  <c r="F972" i="1"/>
  <c r="G972" i="1" s="1"/>
  <c r="F960" i="1"/>
  <c r="G960" i="1" s="1"/>
  <c r="F948" i="1"/>
  <c r="G948" i="1" s="1"/>
  <c r="F924" i="1"/>
  <c r="G924" i="1" s="1"/>
  <c r="F912" i="1"/>
  <c r="G912" i="1" s="1"/>
  <c r="F888" i="1"/>
  <c r="G888" i="1" s="1"/>
  <c r="F876" i="1"/>
  <c r="G876" i="1" s="1"/>
  <c r="F864" i="1"/>
  <c r="G864" i="1" s="1"/>
  <c r="F840" i="1"/>
  <c r="G840" i="1" s="1"/>
  <c r="F828" i="1"/>
  <c r="G828" i="1" s="1"/>
  <c r="F804" i="1"/>
  <c r="G804" i="1" s="1"/>
  <c r="F792" i="1"/>
  <c r="G792" i="1" s="1"/>
  <c r="F768" i="1"/>
  <c r="G768" i="1" s="1"/>
  <c r="F756" i="1"/>
  <c r="G756" i="1" s="1"/>
  <c r="F732" i="1"/>
  <c r="G732" i="1" s="1"/>
  <c r="F720" i="1"/>
  <c r="G720" i="1" s="1"/>
  <c r="F708" i="1"/>
  <c r="G708" i="1" s="1"/>
  <c r="F696" i="1"/>
  <c r="G696" i="1" s="1"/>
  <c r="F684" i="1"/>
  <c r="G684" i="1" s="1"/>
  <c r="F672" i="1"/>
  <c r="G672" i="1" s="1"/>
  <c r="F660" i="1"/>
  <c r="G660" i="1" s="1"/>
  <c r="F636" i="1"/>
  <c r="G636" i="1" s="1"/>
  <c r="F624" i="1"/>
  <c r="G624" i="1" s="1"/>
  <c r="F612" i="1"/>
  <c r="G612" i="1" s="1"/>
  <c r="F600" i="1"/>
  <c r="G600" i="1" s="1"/>
  <c r="F588" i="1"/>
  <c r="G588" i="1" s="1"/>
  <c r="F576" i="1"/>
  <c r="G576" i="1" s="1"/>
  <c r="F564" i="1"/>
  <c r="G564" i="1" s="1"/>
  <c r="F540" i="1"/>
  <c r="G540" i="1" s="1"/>
  <c r="F528" i="1"/>
  <c r="G528" i="1" s="1"/>
  <c r="F504" i="1"/>
  <c r="G504" i="1" s="1"/>
  <c r="F1393" i="1"/>
  <c r="G1393" i="1" s="1"/>
  <c r="F1381" i="1"/>
  <c r="G1381" i="1" s="1"/>
  <c r="F1369" i="1"/>
  <c r="G1369" i="1" s="1"/>
  <c r="F1345" i="1"/>
  <c r="G1345" i="1" s="1"/>
  <c r="F1333" i="1"/>
  <c r="G1333" i="1" s="1"/>
  <c r="F1321" i="1"/>
  <c r="G1321" i="1" s="1"/>
  <c r="F1309" i="1"/>
  <c r="G1309" i="1" s="1"/>
  <c r="F1297" i="1"/>
  <c r="G1297" i="1" s="1"/>
  <c r="F1285" i="1"/>
  <c r="G1285" i="1" s="1"/>
  <c r="F1273" i="1"/>
  <c r="G1273" i="1" s="1"/>
  <c r="F1261" i="1"/>
  <c r="G1261" i="1" s="1"/>
  <c r="F1249" i="1"/>
  <c r="G1249" i="1" s="1"/>
  <c r="F1237" i="1"/>
  <c r="G1237" i="1" s="1"/>
  <c r="F1225" i="1"/>
  <c r="G1225" i="1" s="1"/>
  <c r="F1213" i="1"/>
  <c r="G1213" i="1" s="1"/>
  <c r="F1189" i="1"/>
  <c r="G1189" i="1" s="1"/>
  <c r="F1177" i="1"/>
  <c r="G1177" i="1" s="1"/>
  <c r="F1165" i="1"/>
  <c r="G1165" i="1" s="1"/>
  <c r="F1141" i="1"/>
  <c r="G1141" i="1" s="1"/>
  <c r="F1129" i="1"/>
  <c r="G1129" i="1" s="1"/>
  <c r="F1117" i="1"/>
  <c r="G1117" i="1" s="1"/>
  <c r="F1105" i="1"/>
  <c r="G1105" i="1" s="1"/>
  <c r="F1093" i="1"/>
  <c r="G1093" i="1" s="1"/>
  <c r="F1069" i="1"/>
  <c r="G1069" i="1" s="1"/>
  <c r="F1057" i="1"/>
  <c r="G1057" i="1" s="1"/>
  <c r="F1045" i="1"/>
  <c r="G1045" i="1" s="1"/>
  <c r="F1009" i="1"/>
  <c r="G1009" i="1" s="1"/>
  <c r="F997" i="1"/>
  <c r="G997" i="1" s="1"/>
  <c r="F985" i="1"/>
  <c r="G985" i="1" s="1"/>
  <c r="F973" i="1"/>
  <c r="G973" i="1" s="1"/>
  <c r="F961" i="1"/>
  <c r="G961" i="1" s="1"/>
  <c r="F949" i="1"/>
  <c r="G949" i="1" s="1"/>
  <c r="F925" i="1"/>
  <c r="G925" i="1" s="1"/>
  <c r="F913" i="1"/>
  <c r="G913" i="1" s="1"/>
  <c r="F901" i="1"/>
  <c r="G901" i="1" s="1"/>
  <c r="F889" i="1"/>
  <c r="G889" i="1" s="1"/>
  <c r="F877" i="1"/>
  <c r="G877" i="1" s="1"/>
  <c r="F865" i="1"/>
  <c r="G865" i="1" s="1"/>
  <c r="F853" i="1"/>
  <c r="G853" i="1" s="1"/>
  <c r="F841" i="1"/>
  <c r="G841" i="1" s="1"/>
  <c r="F829" i="1"/>
  <c r="G829" i="1" s="1"/>
  <c r="F805" i="1"/>
  <c r="G805" i="1" s="1"/>
  <c r="F793" i="1"/>
  <c r="G793" i="1" s="1"/>
  <c r="F781" i="1"/>
  <c r="G781" i="1" s="1"/>
  <c r="F757" i="1"/>
  <c r="G757" i="1" s="1"/>
  <c r="F745" i="1"/>
  <c r="G745" i="1" s="1"/>
  <c r="F733" i="1"/>
  <c r="G733" i="1" s="1"/>
  <c r="F709" i="1"/>
  <c r="G709" i="1" s="1"/>
  <c r="F673" i="1"/>
  <c r="G673" i="1" s="1"/>
  <c r="F661" i="1"/>
  <c r="G661" i="1" s="1"/>
  <c r="F637" i="1"/>
  <c r="G637" i="1" s="1"/>
  <c r="F625" i="1"/>
  <c r="G625" i="1" s="1"/>
  <c r="F601" i="1"/>
  <c r="G601" i="1" s="1"/>
  <c r="F589" i="1"/>
  <c r="G589" i="1" s="1"/>
  <c r="F577" i="1"/>
  <c r="G577" i="1" s="1"/>
  <c r="F553" i="1"/>
  <c r="G553" i="1" s="1"/>
  <c r="F541" i="1"/>
  <c r="G541" i="1" s="1"/>
  <c r="F529" i="1"/>
  <c r="G529" i="1" s="1"/>
  <c r="F517" i="1"/>
  <c r="G517" i="1" s="1"/>
  <c r="F505" i="1"/>
  <c r="G505" i="1" s="1"/>
  <c r="F9" i="4"/>
  <c r="E9" i="4" s="1"/>
  <c r="C9" i="4" s="1"/>
  <c r="B9" i="4" s="1"/>
  <c r="F7" i="4"/>
  <c r="E7" i="4" s="1"/>
  <c r="C7" i="4" s="1"/>
  <c r="B7" i="4" s="1"/>
  <c r="F8" i="4"/>
  <c r="E8" i="4" s="1"/>
  <c r="C8" i="4" s="1"/>
  <c r="B8" i="4" s="1"/>
  <c r="AI17" i="1"/>
  <c r="F685" i="1"/>
  <c r="G685" i="1" s="1"/>
  <c r="AH16" i="1"/>
  <c r="AK16" i="1" s="1"/>
  <c r="AI18" i="1"/>
  <c r="F952" i="1"/>
  <c r="G952" i="1" s="1"/>
  <c r="F769" i="1"/>
  <c r="G769" i="1" s="1"/>
  <c r="AI16" i="1"/>
  <c r="AI15" i="1"/>
  <c r="D27" i="1"/>
  <c r="C27" i="1" s="1"/>
  <c r="D10" i="1"/>
  <c r="D111" i="1"/>
  <c r="F5" i="1"/>
  <c r="G5" i="1" s="1"/>
  <c r="F27" i="1"/>
  <c r="G27" i="1" s="1"/>
  <c r="D376" i="1"/>
  <c r="C376" i="1" s="1"/>
  <c r="F376" i="1" s="1"/>
  <c r="G376" i="1" s="1"/>
  <c r="D482" i="1"/>
  <c r="C482" i="1" s="1"/>
  <c r="F482" i="1" s="1"/>
  <c r="G482" i="1" s="1"/>
  <c r="D359" i="1"/>
  <c r="C359" i="1" s="1"/>
  <c r="F359" i="1" s="1"/>
  <c r="G359" i="1" s="1"/>
  <c r="D49" i="1"/>
  <c r="D132" i="1"/>
  <c r="C132" i="1" s="1"/>
  <c r="F132" i="1" s="1"/>
  <c r="G132" i="1" s="1"/>
  <c r="D110" i="1"/>
  <c r="D28" i="1"/>
  <c r="C28" i="1" s="1"/>
  <c r="D254" i="1"/>
  <c r="C254" i="1" s="1"/>
  <c r="F254" i="1" s="1"/>
  <c r="G254" i="1" s="1"/>
  <c r="D360" i="1"/>
  <c r="C360" i="1" s="1"/>
  <c r="F360" i="1" s="1"/>
  <c r="G360" i="1" s="1"/>
  <c r="D238" i="1"/>
  <c r="C238" i="1" s="1"/>
  <c r="F238" i="1" s="1"/>
  <c r="G238" i="1" s="1"/>
  <c r="D481" i="1"/>
  <c r="C481" i="1" s="1"/>
  <c r="F481" i="1" s="1"/>
  <c r="G481" i="1" s="1"/>
  <c r="D232" i="1"/>
  <c r="C232" i="1" s="1"/>
  <c r="F232" i="1" s="1"/>
  <c r="G232" i="1" s="1"/>
  <c r="D460" i="1"/>
  <c r="C460" i="1" s="1"/>
  <c r="F460" i="1" s="1"/>
  <c r="G460" i="1" s="1"/>
  <c r="D338" i="1"/>
  <c r="C338" i="1" s="1"/>
  <c r="F338" i="1" s="1"/>
  <c r="G338" i="1" s="1"/>
  <c r="D216" i="1"/>
  <c r="C216" i="1" s="1"/>
  <c r="F216" i="1" s="1"/>
  <c r="G216" i="1" s="1"/>
  <c r="D94" i="1"/>
  <c r="D459" i="1"/>
  <c r="C459" i="1" s="1"/>
  <c r="F459" i="1" s="1"/>
  <c r="G459" i="1" s="1"/>
  <c r="D337" i="1"/>
  <c r="C337" i="1" s="1"/>
  <c r="F337" i="1" s="1"/>
  <c r="G337" i="1" s="1"/>
  <c r="D215" i="1"/>
  <c r="C215" i="1" s="1"/>
  <c r="F215" i="1" s="1"/>
  <c r="G215" i="1" s="1"/>
  <c r="D88" i="1"/>
  <c r="D443" i="1"/>
  <c r="C443" i="1" s="1"/>
  <c r="F443" i="1" s="1"/>
  <c r="G443" i="1" s="1"/>
  <c r="D316" i="1"/>
  <c r="C316" i="1" s="1"/>
  <c r="F316" i="1" s="1"/>
  <c r="G316" i="1" s="1"/>
  <c r="D194" i="1"/>
  <c r="C194" i="1" s="1"/>
  <c r="F194" i="1" s="1"/>
  <c r="G194" i="1" s="1"/>
  <c r="D72" i="1"/>
  <c r="D442" i="1"/>
  <c r="C442" i="1" s="1"/>
  <c r="F442" i="1" s="1"/>
  <c r="G442" i="1" s="1"/>
  <c r="D315" i="1"/>
  <c r="C315" i="1" s="1"/>
  <c r="F315" i="1" s="1"/>
  <c r="G315" i="1" s="1"/>
  <c r="D193" i="1"/>
  <c r="C193" i="1" s="1"/>
  <c r="F193" i="1" s="1"/>
  <c r="G193" i="1" s="1"/>
  <c r="D71" i="1"/>
  <c r="D421" i="1"/>
  <c r="C421" i="1" s="1"/>
  <c r="F421" i="1" s="1"/>
  <c r="G421" i="1" s="1"/>
  <c r="D299" i="1"/>
  <c r="C299" i="1" s="1"/>
  <c r="F299" i="1" s="1"/>
  <c r="G299" i="1" s="1"/>
  <c r="D172" i="1"/>
  <c r="C172" i="1" s="1"/>
  <c r="F172" i="1" s="1"/>
  <c r="G172" i="1" s="1"/>
  <c r="D50" i="1"/>
  <c r="D420" i="1"/>
  <c r="C420" i="1" s="1"/>
  <c r="F420" i="1" s="1"/>
  <c r="G420" i="1" s="1"/>
  <c r="D298" i="1"/>
  <c r="C298" i="1" s="1"/>
  <c r="F298" i="1" s="1"/>
  <c r="G298" i="1" s="1"/>
  <c r="D171" i="1"/>
  <c r="C171" i="1" s="1"/>
  <c r="F171" i="1" s="1"/>
  <c r="G171" i="1" s="1"/>
  <c r="D399" i="1"/>
  <c r="C399" i="1" s="1"/>
  <c r="F399" i="1" s="1"/>
  <c r="G399" i="1" s="1"/>
  <c r="D277" i="1"/>
  <c r="C277" i="1" s="1"/>
  <c r="F277" i="1" s="1"/>
  <c r="G277" i="1" s="1"/>
  <c r="D155" i="1"/>
  <c r="C155" i="1" s="1"/>
  <c r="F155" i="1" s="1"/>
  <c r="G155" i="1" s="1"/>
  <c r="D398" i="1"/>
  <c r="C398" i="1" s="1"/>
  <c r="F398" i="1" s="1"/>
  <c r="G398" i="1" s="1"/>
  <c r="D276" i="1"/>
  <c r="C276" i="1" s="1"/>
  <c r="F276" i="1" s="1"/>
  <c r="G276" i="1" s="1"/>
  <c r="D154" i="1"/>
  <c r="C154" i="1" s="1"/>
  <c r="F154" i="1" s="1"/>
  <c r="G154" i="1" s="1"/>
  <c r="D382" i="1"/>
  <c r="C382" i="1" s="1"/>
  <c r="F382" i="1" s="1"/>
  <c r="G382" i="1" s="1"/>
  <c r="D255" i="1"/>
  <c r="C255" i="1" s="1"/>
  <c r="F255" i="1" s="1"/>
  <c r="G255" i="1" s="1"/>
  <c r="D133" i="1"/>
  <c r="C133" i="1" s="1"/>
  <c r="F133" i="1" s="1"/>
  <c r="G133" i="1" s="1"/>
  <c r="D11" i="1"/>
  <c r="C11" i="1" s="1"/>
  <c r="D483" i="1"/>
  <c r="C483" i="1" s="1"/>
  <c r="F483" i="1" s="1"/>
  <c r="G483" i="1" s="1"/>
  <c r="D466" i="1"/>
  <c r="C466" i="1" s="1"/>
  <c r="F466" i="1" s="1"/>
  <c r="G466" i="1" s="1"/>
  <c r="D444" i="1"/>
  <c r="C444" i="1" s="1"/>
  <c r="F444" i="1" s="1"/>
  <c r="G444" i="1" s="1"/>
  <c r="D422" i="1"/>
  <c r="C422" i="1" s="1"/>
  <c r="F422" i="1" s="1"/>
  <c r="G422" i="1" s="1"/>
  <c r="D400" i="1"/>
  <c r="C400" i="1" s="1"/>
  <c r="F400" i="1" s="1"/>
  <c r="G400" i="1" s="1"/>
  <c r="D383" i="1"/>
  <c r="C383" i="1" s="1"/>
  <c r="F383" i="1" s="1"/>
  <c r="G383" i="1" s="1"/>
  <c r="D361" i="1"/>
  <c r="C361" i="1" s="1"/>
  <c r="F361" i="1" s="1"/>
  <c r="G361" i="1" s="1"/>
  <c r="D339" i="1"/>
  <c r="C339" i="1" s="1"/>
  <c r="F339" i="1" s="1"/>
  <c r="G339" i="1" s="1"/>
  <c r="D322" i="1"/>
  <c r="C322" i="1" s="1"/>
  <c r="F322" i="1" s="1"/>
  <c r="G322" i="1" s="1"/>
  <c r="D300" i="1"/>
  <c r="C300" i="1" s="1"/>
  <c r="F300" i="1" s="1"/>
  <c r="G300" i="1" s="1"/>
  <c r="D278" i="1"/>
  <c r="C278" i="1" s="1"/>
  <c r="F278" i="1" s="1"/>
  <c r="G278" i="1" s="1"/>
  <c r="D256" i="1"/>
  <c r="C256" i="1" s="1"/>
  <c r="F256" i="1" s="1"/>
  <c r="G256" i="1" s="1"/>
  <c r="D239" i="1"/>
  <c r="C239" i="1" s="1"/>
  <c r="F239" i="1" s="1"/>
  <c r="G239" i="1" s="1"/>
  <c r="D217" i="1"/>
  <c r="C217" i="1" s="1"/>
  <c r="F217" i="1" s="1"/>
  <c r="G217" i="1" s="1"/>
  <c r="D195" i="1"/>
  <c r="C195" i="1" s="1"/>
  <c r="F195" i="1" s="1"/>
  <c r="G195" i="1" s="1"/>
  <c r="D178" i="1"/>
  <c r="C178" i="1" s="1"/>
  <c r="F178" i="1" s="1"/>
  <c r="G178" i="1" s="1"/>
  <c r="D156" i="1"/>
  <c r="C156" i="1" s="1"/>
  <c r="F156" i="1" s="1"/>
  <c r="G156" i="1" s="1"/>
  <c r="D134" i="1"/>
  <c r="C134" i="1" s="1"/>
  <c r="F134" i="1" s="1"/>
  <c r="G134" i="1" s="1"/>
  <c r="D112" i="1"/>
  <c r="D95" i="1"/>
  <c r="D73" i="1"/>
  <c r="D51" i="1"/>
  <c r="D34" i="1"/>
  <c r="C34" i="1" s="1"/>
  <c r="D12" i="1"/>
  <c r="C12" i="1" s="1"/>
  <c r="D480" i="1"/>
  <c r="C480" i="1" s="1"/>
  <c r="F480" i="1" s="1"/>
  <c r="G480" i="1" s="1"/>
  <c r="D358" i="1"/>
  <c r="C358" i="1" s="1"/>
  <c r="F358" i="1" s="1"/>
  <c r="G358" i="1" s="1"/>
  <c r="D253" i="1"/>
  <c r="C253" i="1" s="1"/>
  <c r="F253" i="1" s="1"/>
  <c r="G253" i="1" s="1"/>
  <c r="D26" i="1"/>
  <c r="C26" i="1" s="1"/>
  <c r="D435" i="1"/>
  <c r="C435" i="1" s="1"/>
  <c r="F435" i="1" s="1"/>
  <c r="G435" i="1" s="1"/>
  <c r="D352" i="1"/>
  <c r="C352" i="1" s="1"/>
  <c r="F352" i="1" s="1"/>
  <c r="G352" i="1" s="1"/>
  <c r="D230" i="1"/>
  <c r="C230" i="1" s="1"/>
  <c r="F230" i="1" s="1"/>
  <c r="G230" i="1" s="1"/>
  <c r="D47" i="1"/>
  <c r="D478" i="1"/>
  <c r="C478" i="1" s="1"/>
  <c r="F478" i="1" s="1"/>
  <c r="G478" i="1" s="1"/>
  <c r="D373" i="1"/>
  <c r="C373" i="1" s="1"/>
  <c r="F373" i="1" s="1"/>
  <c r="G373" i="1" s="1"/>
  <c r="D312" i="1"/>
  <c r="C312" i="1" s="1"/>
  <c r="F312" i="1" s="1"/>
  <c r="G312" i="1" s="1"/>
  <c r="D268" i="1"/>
  <c r="C268" i="1" s="1"/>
  <c r="F268" i="1" s="1"/>
  <c r="G268" i="1" s="1"/>
  <c r="D190" i="1"/>
  <c r="C190" i="1" s="1"/>
  <c r="F190" i="1" s="1"/>
  <c r="G190" i="1" s="1"/>
  <c r="D146" i="1"/>
  <c r="C146" i="1" s="1"/>
  <c r="F146" i="1" s="1"/>
  <c r="G146" i="1" s="1"/>
  <c r="D107" i="1"/>
  <c r="D24" i="1"/>
  <c r="C24" i="1" s="1"/>
  <c r="D411" i="1"/>
  <c r="C411" i="1" s="1"/>
  <c r="F411" i="1" s="1"/>
  <c r="G411" i="1" s="1"/>
  <c r="D328" i="1"/>
  <c r="C328" i="1" s="1"/>
  <c r="F328" i="1" s="1"/>
  <c r="G328" i="1" s="1"/>
  <c r="D267" i="1"/>
  <c r="C267" i="1" s="1"/>
  <c r="F267" i="1" s="1"/>
  <c r="G267" i="1" s="1"/>
  <c r="D184" i="1"/>
  <c r="C184" i="1" s="1"/>
  <c r="F184" i="1" s="1"/>
  <c r="G184" i="1" s="1"/>
  <c r="D145" i="1"/>
  <c r="C145" i="1" s="1"/>
  <c r="F145" i="1" s="1"/>
  <c r="G145" i="1" s="1"/>
  <c r="D106" i="1"/>
  <c r="D84" i="1"/>
  <c r="D23" i="1"/>
  <c r="C23" i="1" s="1"/>
  <c r="D471" i="1"/>
  <c r="C471" i="1" s="1"/>
  <c r="F471" i="1" s="1"/>
  <c r="G471" i="1" s="1"/>
  <c r="D432" i="1"/>
  <c r="C432" i="1" s="1"/>
  <c r="F432" i="1" s="1"/>
  <c r="G432" i="1" s="1"/>
  <c r="D388" i="1"/>
  <c r="C388" i="1" s="1"/>
  <c r="F388" i="1" s="1"/>
  <c r="G388" i="1" s="1"/>
  <c r="D349" i="1"/>
  <c r="C349" i="1" s="1"/>
  <c r="F349" i="1" s="1"/>
  <c r="G349" i="1" s="1"/>
  <c r="D327" i="1"/>
  <c r="C327" i="1" s="1"/>
  <c r="F327" i="1" s="1"/>
  <c r="G327" i="1" s="1"/>
  <c r="D310" i="1"/>
  <c r="C310" i="1" s="1"/>
  <c r="F310" i="1" s="1"/>
  <c r="G310" i="1" s="1"/>
  <c r="D288" i="1"/>
  <c r="C288" i="1" s="1"/>
  <c r="F288" i="1" s="1"/>
  <c r="G288" i="1" s="1"/>
  <c r="D266" i="1"/>
  <c r="C266" i="1" s="1"/>
  <c r="F266" i="1" s="1"/>
  <c r="G266" i="1" s="1"/>
  <c r="D244" i="1"/>
  <c r="C244" i="1" s="1"/>
  <c r="F244" i="1" s="1"/>
  <c r="G244" i="1" s="1"/>
  <c r="D227" i="1"/>
  <c r="C227" i="1" s="1"/>
  <c r="F227" i="1" s="1"/>
  <c r="G227" i="1" s="1"/>
  <c r="D205" i="1"/>
  <c r="C205" i="1" s="1"/>
  <c r="F205" i="1" s="1"/>
  <c r="G205" i="1" s="1"/>
  <c r="D183" i="1"/>
  <c r="C183" i="1" s="1"/>
  <c r="F183" i="1" s="1"/>
  <c r="G183" i="1" s="1"/>
  <c r="D166" i="1"/>
  <c r="C166" i="1" s="1"/>
  <c r="F166" i="1" s="1"/>
  <c r="G166" i="1" s="1"/>
  <c r="D144" i="1"/>
  <c r="C144" i="1" s="1"/>
  <c r="F144" i="1" s="1"/>
  <c r="G144" i="1" s="1"/>
  <c r="D122" i="1"/>
  <c r="D100" i="1"/>
  <c r="D83" i="1"/>
  <c r="D61" i="1"/>
  <c r="D39" i="1"/>
  <c r="C39" i="1" s="1"/>
  <c r="D22" i="1"/>
  <c r="C22" i="1" s="1"/>
  <c r="D397" i="1"/>
  <c r="C397" i="1" s="1"/>
  <c r="F397" i="1" s="1"/>
  <c r="G397" i="1" s="1"/>
  <c r="D275" i="1"/>
  <c r="C275" i="1" s="1"/>
  <c r="F275" i="1" s="1"/>
  <c r="G275" i="1" s="1"/>
  <c r="D48" i="1"/>
  <c r="D418" i="1"/>
  <c r="C418" i="1" s="1"/>
  <c r="F418" i="1" s="1"/>
  <c r="G418" i="1" s="1"/>
  <c r="D335" i="1"/>
  <c r="C335" i="1" s="1"/>
  <c r="F335" i="1" s="1"/>
  <c r="G335" i="1" s="1"/>
  <c r="D252" i="1"/>
  <c r="C252" i="1" s="1"/>
  <c r="F252" i="1" s="1"/>
  <c r="G252" i="1" s="1"/>
  <c r="D130" i="1"/>
  <c r="C130" i="1" s="1"/>
  <c r="F130" i="1" s="1"/>
  <c r="G130" i="1" s="1"/>
  <c r="D25" i="1"/>
  <c r="C25" i="1" s="1"/>
  <c r="D395" i="1"/>
  <c r="C395" i="1" s="1"/>
  <c r="F395" i="1" s="1"/>
  <c r="G395" i="1" s="1"/>
  <c r="D229" i="1"/>
  <c r="C229" i="1" s="1"/>
  <c r="F229" i="1" s="1"/>
  <c r="G229" i="1" s="1"/>
  <c r="D46" i="1"/>
  <c r="D372" i="1"/>
  <c r="C372" i="1" s="1"/>
  <c r="F372" i="1" s="1"/>
  <c r="G372" i="1" s="1"/>
  <c r="D289" i="1"/>
  <c r="C289" i="1" s="1"/>
  <c r="F289" i="1" s="1"/>
  <c r="G289" i="1" s="1"/>
  <c r="D206" i="1"/>
  <c r="C206" i="1" s="1"/>
  <c r="F206" i="1" s="1"/>
  <c r="G206" i="1" s="1"/>
  <c r="D167" i="1"/>
  <c r="C167" i="1" s="1"/>
  <c r="F167" i="1" s="1"/>
  <c r="G167" i="1" s="1"/>
  <c r="D123" i="1"/>
  <c r="C123" i="1" s="1"/>
  <c r="F123" i="1" s="1"/>
  <c r="G123" i="1" s="1"/>
  <c r="D493" i="1"/>
  <c r="C493" i="1" s="1"/>
  <c r="F493" i="1" s="1"/>
  <c r="G493" i="1" s="1"/>
  <c r="D454" i="1"/>
  <c r="C454" i="1" s="1"/>
  <c r="F454" i="1" s="1"/>
  <c r="G454" i="1" s="1"/>
  <c r="D410" i="1"/>
  <c r="C410" i="1" s="1"/>
  <c r="F410" i="1" s="1"/>
  <c r="G410" i="1" s="1"/>
  <c r="D371" i="1"/>
  <c r="C371" i="1" s="1"/>
  <c r="F371" i="1" s="1"/>
  <c r="G371" i="1" s="1"/>
  <c r="D492" i="1"/>
  <c r="C492" i="1" s="1"/>
  <c r="F492" i="1" s="1"/>
  <c r="G492" i="1" s="1"/>
  <c r="D470" i="1"/>
  <c r="C470" i="1" s="1"/>
  <c r="F470" i="1" s="1"/>
  <c r="G470" i="1" s="1"/>
  <c r="D448" i="1"/>
  <c r="C448" i="1" s="1"/>
  <c r="F448" i="1" s="1"/>
  <c r="G448" i="1" s="1"/>
  <c r="D431" i="1"/>
  <c r="C431" i="1" s="1"/>
  <c r="F431" i="1" s="1"/>
  <c r="G431" i="1" s="1"/>
  <c r="D409" i="1"/>
  <c r="C409" i="1" s="1"/>
  <c r="F409" i="1" s="1"/>
  <c r="G409" i="1" s="1"/>
  <c r="D387" i="1"/>
  <c r="C387" i="1" s="1"/>
  <c r="F387" i="1" s="1"/>
  <c r="G387" i="1" s="1"/>
  <c r="D370" i="1"/>
  <c r="C370" i="1" s="1"/>
  <c r="F370" i="1" s="1"/>
  <c r="G370" i="1" s="1"/>
  <c r="D348" i="1"/>
  <c r="C348" i="1" s="1"/>
  <c r="F348" i="1" s="1"/>
  <c r="G348" i="1" s="1"/>
  <c r="D326" i="1"/>
  <c r="C326" i="1" s="1"/>
  <c r="F326" i="1" s="1"/>
  <c r="G326" i="1" s="1"/>
  <c r="D304" i="1"/>
  <c r="C304" i="1" s="1"/>
  <c r="F304" i="1" s="1"/>
  <c r="G304" i="1" s="1"/>
  <c r="D287" i="1"/>
  <c r="C287" i="1" s="1"/>
  <c r="F287" i="1" s="1"/>
  <c r="G287" i="1" s="1"/>
  <c r="D265" i="1"/>
  <c r="C265" i="1" s="1"/>
  <c r="F265" i="1" s="1"/>
  <c r="G265" i="1" s="1"/>
  <c r="D243" i="1"/>
  <c r="C243" i="1" s="1"/>
  <c r="F243" i="1" s="1"/>
  <c r="G243" i="1" s="1"/>
  <c r="D226" i="1"/>
  <c r="C226" i="1" s="1"/>
  <c r="F226" i="1" s="1"/>
  <c r="G226" i="1" s="1"/>
  <c r="D204" i="1"/>
  <c r="C204" i="1" s="1"/>
  <c r="F204" i="1" s="1"/>
  <c r="G204" i="1" s="1"/>
  <c r="D182" i="1"/>
  <c r="C182" i="1" s="1"/>
  <c r="F182" i="1" s="1"/>
  <c r="G182" i="1" s="1"/>
  <c r="D160" i="1"/>
  <c r="C160" i="1" s="1"/>
  <c r="F160" i="1" s="1"/>
  <c r="G160" i="1" s="1"/>
  <c r="D143" i="1"/>
  <c r="C143" i="1" s="1"/>
  <c r="F143" i="1" s="1"/>
  <c r="G143" i="1" s="1"/>
  <c r="D121" i="1"/>
  <c r="D99" i="1"/>
  <c r="D82" i="1"/>
  <c r="D60" i="1"/>
  <c r="D38" i="1"/>
  <c r="C38" i="1" s="1"/>
  <c r="D16" i="1"/>
  <c r="C16" i="1" s="1"/>
  <c r="D458" i="1"/>
  <c r="C458" i="1" s="1"/>
  <c r="F458" i="1" s="1"/>
  <c r="G458" i="1" s="1"/>
  <c r="D375" i="1"/>
  <c r="C375" i="1" s="1"/>
  <c r="F375" i="1" s="1"/>
  <c r="G375" i="1" s="1"/>
  <c r="D336" i="1"/>
  <c r="C336" i="1" s="1"/>
  <c r="F336" i="1" s="1"/>
  <c r="G336" i="1" s="1"/>
  <c r="D231" i="1"/>
  <c r="C231" i="1" s="1"/>
  <c r="F231" i="1" s="1"/>
  <c r="G231" i="1" s="1"/>
  <c r="D214" i="1"/>
  <c r="C214" i="1" s="1"/>
  <c r="F214" i="1" s="1"/>
  <c r="G214" i="1" s="1"/>
  <c r="D192" i="1"/>
  <c r="C192" i="1" s="1"/>
  <c r="F192" i="1" s="1"/>
  <c r="G192" i="1" s="1"/>
  <c r="D170" i="1"/>
  <c r="C170" i="1" s="1"/>
  <c r="F170" i="1" s="1"/>
  <c r="G170" i="1" s="1"/>
  <c r="D148" i="1"/>
  <c r="C148" i="1" s="1"/>
  <c r="F148" i="1" s="1"/>
  <c r="G148" i="1" s="1"/>
  <c r="D131" i="1"/>
  <c r="C131" i="1" s="1"/>
  <c r="F131" i="1" s="1"/>
  <c r="G131" i="1" s="1"/>
  <c r="D109" i="1"/>
  <c r="D4" i="1"/>
  <c r="C4" i="1" s="1"/>
  <c r="D479" i="1"/>
  <c r="C479" i="1" s="1"/>
  <c r="F479" i="1" s="1"/>
  <c r="G479" i="1" s="1"/>
  <c r="D396" i="1"/>
  <c r="C396" i="1" s="1"/>
  <c r="F396" i="1" s="1"/>
  <c r="G396" i="1" s="1"/>
  <c r="D313" i="1"/>
  <c r="C313" i="1" s="1"/>
  <c r="F313" i="1" s="1"/>
  <c r="G313" i="1" s="1"/>
  <c r="D191" i="1"/>
  <c r="C191" i="1" s="1"/>
  <c r="F191" i="1" s="1"/>
  <c r="G191" i="1" s="1"/>
  <c r="D86" i="1"/>
  <c r="D456" i="1"/>
  <c r="C456" i="1" s="1"/>
  <c r="F456" i="1" s="1"/>
  <c r="G456" i="1" s="1"/>
  <c r="D290" i="1"/>
  <c r="C290" i="1" s="1"/>
  <c r="F290" i="1" s="1"/>
  <c r="G290" i="1" s="1"/>
  <c r="D124" i="1"/>
  <c r="C124" i="1" s="1"/>
  <c r="F124" i="1" s="1"/>
  <c r="G124" i="1" s="1"/>
  <c r="D472" i="1"/>
  <c r="C472" i="1" s="1"/>
  <c r="F472" i="1" s="1"/>
  <c r="G472" i="1" s="1"/>
  <c r="D433" i="1"/>
  <c r="C433" i="1" s="1"/>
  <c r="F433" i="1" s="1"/>
  <c r="G433" i="1" s="1"/>
  <c r="D350" i="1"/>
  <c r="C350" i="1" s="1"/>
  <c r="F350" i="1" s="1"/>
  <c r="G350" i="1" s="1"/>
  <c r="D250" i="1"/>
  <c r="C250" i="1" s="1"/>
  <c r="F250" i="1" s="1"/>
  <c r="G250" i="1" s="1"/>
  <c r="D220" i="1"/>
  <c r="C220" i="1" s="1"/>
  <c r="F220" i="1" s="1"/>
  <c r="G220" i="1" s="1"/>
  <c r="D203" i="1"/>
  <c r="C203" i="1" s="1"/>
  <c r="F203" i="1" s="1"/>
  <c r="G203" i="1" s="1"/>
  <c r="D181" i="1"/>
  <c r="C181" i="1" s="1"/>
  <c r="F181" i="1" s="1"/>
  <c r="G181" i="1" s="1"/>
  <c r="D159" i="1"/>
  <c r="C159" i="1" s="1"/>
  <c r="F159" i="1" s="1"/>
  <c r="G159" i="1" s="1"/>
  <c r="D142" i="1"/>
  <c r="C142" i="1" s="1"/>
  <c r="F142" i="1" s="1"/>
  <c r="G142" i="1" s="1"/>
  <c r="D120" i="1"/>
  <c r="D98" i="1"/>
  <c r="D76" i="1"/>
  <c r="D59" i="1"/>
  <c r="D37" i="1"/>
  <c r="C37" i="1" s="1"/>
  <c r="D15" i="1"/>
  <c r="C15" i="1" s="1"/>
  <c r="D419" i="1"/>
  <c r="C419" i="1" s="1"/>
  <c r="F419" i="1" s="1"/>
  <c r="G419" i="1" s="1"/>
  <c r="D292" i="1"/>
  <c r="C292" i="1" s="1"/>
  <c r="F292" i="1" s="1"/>
  <c r="G292" i="1" s="1"/>
  <c r="D87" i="1"/>
  <c r="D457" i="1"/>
  <c r="C457" i="1" s="1"/>
  <c r="F457" i="1" s="1"/>
  <c r="G457" i="1" s="1"/>
  <c r="D274" i="1"/>
  <c r="C274" i="1" s="1"/>
  <c r="F274" i="1" s="1"/>
  <c r="G274" i="1" s="1"/>
  <c r="D3" i="1"/>
  <c r="C3" i="1" s="1"/>
  <c r="D495" i="1"/>
  <c r="C495" i="1" s="1"/>
  <c r="F495" i="1" s="1"/>
  <c r="G495" i="1" s="1"/>
  <c r="D412" i="1"/>
  <c r="C412" i="1" s="1"/>
  <c r="F412" i="1" s="1"/>
  <c r="G412" i="1" s="1"/>
  <c r="D351" i="1"/>
  <c r="C351" i="1" s="1"/>
  <c r="F351" i="1" s="1"/>
  <c r="G351" i="1" s="1"/>
  <c r="D251" i="1"/>
  <c r="C251" i="1" s="1"/>
  <c r="F251" i="1" s="1"/>
  <c r="G251" i="1" s="1"/>
  <c r="D168" i="1"/>
  <c r="C168" i="1" s="1"/>
  <c r="F168" i="1" s="1"/>
  <c r="G168" i="1" s="1"/>
  <c r="D85" i="1"/>
  <c r="D455" i="1"/>
  <c r="C455" i="1" s="1"/>
  <c r="F455" i="1" s="1"/>
  <c r="G455" i="1" s="1"/>
  <c r="D311" i="1"/>
  <c r="C311" i="1" s="1"/>
  <c r="F311" i="1" s="1"/>
  <c r="G311" i="1" s="1"/>
  <c r="D62" i="1"/>
  <c r="D491" i="1"/>
  <c r="C491" i="1" s="1"/>
  <c r="F491" i="1" s="1"/>
  <c r="G491" i="1" s="1"/>
  <c r="D447" i="1"/>
  <c r="C447" i="1" s="1"/>
  <c r="F447" i="1" s="1"/>
  <c r="G447" i="1" s="1"/>
  <c r="D430" i="1"/>
  <c r="C430" i="1" s="1"/>
  <c r="F430" i="1" s="1"/>
  <c r="G430" i="1" s="1"/>
  <c r="D386" i="1"/>
  <c r="C386" i="1" s="1"/>
  <c r="F386" i="1" s="1"/>
  <c r="G386" i="1" s="1"/>
  <c r="D303" i="1"/>
  <c r="C303" i="1" s="1"/>
  <c r="F303" i="1" s="1"/>
  <c r="G303" i="1" s="1"/>
  <c r="D490" i="1"/>
  <c r="C490" i="1" s="1"/>
  <c r="F490" i="1" s="1"/>
  <c r="G490" i="1" s="1"/>
  <c r="D407" i="1"/>
  <c r="C407" i="1" s="1"/>
  <c r="F407" i="1" s="1"/>
  <c r="G407" i="1" s="1"/>
  <c r="D363" i="1"/>
  <c r="C363" i="1" s="1"/>
  <c r="F363" i="1" s="1"/>
  <c r="G363" i="1" s="1"/>
  <c r="D346" i="1"/>
  <c r="C346" i="1" s="1"/>
  <c r="F346" i="1" s="1"/>
  <c r="G346" i="1" s="1"/>
  <c r="D324" i="1"/>
  <c r="C324" i="1" s="1"/>
  <c r="F324" i="1" s="1"/>
  <c r="G324" i="1" s="1"/>
  <c r="D302" i="1"/>
  <c r="C302" i="1" s="1"/>
  <c r="F302" i="1" s="1"/>
  <c r="G302" i="1" s="1"/>
  <c r="D280" i="1"/>
  <c r="C280" i="1" s="1"/>
  <c r="F280" i="1" s="1"/>
  <c r="G280" i="1" s="1"/>
  <c r="D263" i="1"/>
  <c r="C263" i="1" s="1"/>
  <c r="F263" i="1" s="1"/>
  <c r="G263" i="1" s="1"/>
  <c r="D241" i="1"/>
  <c r="C241" i="1" s="1"/>
  <c r="F241" i="1" s="1"/>
  <c r="G241" i="1" s="1"/>
  <c r="D219" i="1"/>
  <c r="C219" i="1" s="1"/>
  <c r="F219" i="1" s="1"/>
  <c r="G219" i="1" s="1"/>
  <c r="D202" i="1"/>
  <c r="C202" i="1" s="1"/>
  <c r="F202" i="1" s="1"/>
  <c r="G202" i="1" s="1"/>
  <c r="D180" i="1"/>
  <c r="C180" i="1" s="1"/>
  <c r="F180" i="1" s="1"/>
  <c r="G180" i="1" s="1"/>
  <c r="D158" i="1"/>
  <c r="C158" i="1" s="1"/>
  <c r="F158" i="1" s="1"/>
  <c r="G158" i="1" s="1"/>
  <c r="D136" i="1"/>
  <c r="C136" i="1" s="1"/>
  <c r="F136" i="1" s="1"/>
  <c r="G136" i="1" s="1"/>
  <c r="D119" i="1"/>
  <c r="D97" i="1"/>
  <c r="D75" i="1"/>
  <c r="D58" i="1"/>
  <c r="D36" i="1"/>
  <c r="C36" i="1" s="1"/>
  <c r="D14" i="1"/>
  <c r="C14" i="1" s="1"/>
  <c r="D436" i="1"/>
  <c r="C436" i="1" s="1"/>
  <c r="F436" i="1" s="1"/>
  <c r="G436" i="1" s="1"/>
  <c r="D314" i="1"/>
  <c r="C314" i="1" s="1"/>
  <c r="F314" i="1" s="1"/>
  <c r="G314" i="1" s="1"/>
  <c r="D70" i="1"/>
  <c r="D496" i="1"/>
  <c r="C496" i="1" s="1"/>
  <c r="F496" i="1" s="1"/>
  <c r="G496" i="1" s="1"/>
  <c r="D374" i="1"/>
  <c r="C374" i="1" s="1"/>
  <c r="F374" i="1" s="1"/>
  <c r="G374" i="1" s="1"/>
  <c r="D291" i="1"/>
  <c r="C291" i="1" s="1"/>
  <c r="F291" i="1" s="1"/>
  <c r="G291" i="1" s="1"/>
  <c r="D208" i="1"/>
  <c r="C208" i="1" s="1"/>
  <c r="F208" i="1" s="1"/>
  <c r="G208" i="1" s="1"/>
  <c r="D169" i="1"/>
  <c r="C169" i="1" s="1"/>
  <c r="F169" i="1" s="1"/>
  <c r="G169" i="1" s="1"/>
  <c r="D147" i="1"/>
  <c r="C147" i="1" s="1"/>
  <c r="F147" i="1" s="1"/>
  <c r="G147" i="1" s="1"/>
  <c r="D108" i="1"/>
  <c r="D64" i="1"/>
  <c r="D434" i="1"/>
  <c r="C434" i="1" s="1"/>
  <c r="F434" i="1" s="1"/>
  <c r="G434" i="1" s="1"/>
  <c r="D334" i="1"/>
  <c r="C334" i="1" s="1"/>
  <c r="F334" i="1" s="1"/>
  <c r="G334" i="1" s="1"/>
  <c r="D207" i="1"/>
  <c r="C207" i="1" s="1"/>
  <c r="F207" i="1" s="1"/>
  <c r="G207" i="1" s="1"/>
  <c r="D63" i="1"/>
  <c r="D494" i="1"/>
  <c r="C494" i="1" s="1"/>
  <c r="F494" i="1" s="1"/>
  <c r="G494" i="1" s="1"/>
  <c r="D394" i="1"/>
  <c r="C394" i="1" s="1"/>
  <c r="F394" i="1" s="1"/>
  <c r="G394" i="1" s="1"/>
  <c r="D228" i="1"/>
  <c r="C228" i="1" s="1"/>
  <c r="F228" i="1" s="1"/>
  <c r="G228" i="1" s="1"/>
  <c r="D40" i="1"/>
  <c r="C40" i="1" s="1"/>
  <c r="D469" i="1"/>
  <c r="C469" i="1" s="1"/>
  <c r="F469" i="1" s="1"/>
  <c r="G469" i="1" s="1"/>
  <c r="D408" i="1"/>
  <c r="C408" i="1" s="1"/>
  <c r="F408" i="1" s="1"/>
  <c r="G408" i="1" s="1"/>
  <c r="D364" i="1"/>
  <c r="C364" i="1" s="1"/>
  <c r="F364" i="1" s="1"/>
  <c r="G364" i="1" s="1"/>
  <c r="D347" i="1"/>
  <c r="C347" i="1" s="1"/>
  <c r="F347" i="1" s="1"/>
  <c r="G347" i="1" s="1"/>
  <c r="D325" i="1"/>
  <c r="C325" i="1" s="1"/>
  <c r="F325" i="1" s="1"/>
  <c r="G325" i="1" s="1"/>
  <c r="D286" i="1"/>
  <c r="C286" i="1" s="1"/>
  <c r="F286" i="1" s="1"/>
  <c r="G286" i="1" s="1"/>
  <c r="D264" i="1"/>
  <c r="C264" i="1" s="1"/>
  <c r="F264" i="1" s="1"/>
  <c r="G264" i="1" s="1"/>
  <c r="D242" i="1"/>
  <c r="C242" i="1" s="1"/>
  <c r="F242" i="1" s="1"/>
  <c r="G242" i="1" s="1"/>
  <c r="D468" i="1"/>
  <c r="C468" i="1" s="1"/>
  <c r="F468" i="1" s="1"/>
  <c r="G468" i="1" s="1"/>
  <c r="D446" i="1"/>
  <c r="C446" i="1" s="1"/>
  <c r="F446" i="1" s="1"/>
  <c r="G446" i="1" s="1"/>
  <c r="D424" i="1"/>
  <c r="C424" i="1" s="1"/>
  <c r="F424" i="1" s="1"/>
  <c r="G424" i="1" s="1"/>
  <c r="D385" i="1"/>
  <c r="C385" i="1" s="1"/>
  <c r="F385" i="1" s="1"/>
  <c r="G385" i="1" s="1"/>
  <c r="D484" i="1"/>
  <c r="C484" i="1" s="1"/>
  <c r="F484" i="1" s="1"/>
  <c r="G484" i="1" s="1"/>
  <c r="D467" i="1"/>
  <c r="C467" i="1" s="1"/>
  <c r="F467" i="1" s="1"/>
  <c r="G467" i="1" s="1"/>
  <c r="D445" i="1"/>
  <c r="C445" i="1" s="1"/>
  <c r="F445" i="1" s="1"/>
  <c r="G445" i="1" s="1"/>
  <c r="D423" i="1"/>
  <c r="C423" i="1" s="1"/>
  <c r="F423" i="1" s="1"/>
  <c r="G423" i="1" s="1"/>
  <c r="D406" i="1"/>
  <c r="C406" i="1" s="1"/>
  <c r="F406" i="1" s="1"/>
  <c r="G406" i="1" s="1"/>
  <c r="D384" i="1"/>
  <c r="C384" i="1" s="1"/>
  <c r="F384" i="1" s="1"/>
  <c r="G384" i="1" s="1"/>
  <c r="D362" i="1"/>
  <c r="D340" i="1"/>
  <c r="C340" i="1" s="1"/>
  <c r="F340" i="1" s="1"/>
  <c r="G340" i="1" s="1"/>
  <c r="D323" i="1"/>
  <c r="C323" i="1" s="1"/>
  <c r="F323" i="1" s="1"/>
  <c r="G323" i="1" s="1"/>
  <c r="D301" i="1"/>
  <c r="C301" i="1" s="1"/>
  <c r="F301" i="1" s="1"/>
  <c r="G301" i="1" s="1"/>
  <c r="D279" i="1"/>
  <c r="C279" i="1" s="1"/>
  <c r="F279" i="1" s="1"/>
  <c r="G279" i="1" s="1"/>
  <c r="D262" i="1"/>
  <c r="C262" i="1" s="1"/>
  <c r="F262" i="1" s="1"/>
  <c r="G262" i="1" s="1"/>
  <c r="D240" i="1"/>
  <c r="C240" i="1" s="1"/>
  <c r="F240" i="1" s="1"/>
  <c r="G240" i="1" s="1"/>
  <c r="D218" i="1"/>
  <c r="C218" i="1" s="1"/>
  <c r="F218" i="1" s="1"/>
  <c r="G218" i="1" s="1"/>
  <c r="D196" i="1"/>
  <c r="C196" i="1" s="1"/>
  <c r="F196" i="1" s="1"/>
  <c r="G196" i="1" s="1"/>
  <c r="D179" i="1"/>
  <c r="C179" i="1" s="1"/>
  <c r="F179" i="1" s="1"/>
  <c r="G179" i="1" s="1"/>
  <c r="D157" i="1"/>
  <c r="C157" i="1" s="1"/>
  <c r="F157" i="1" s="1"/>
  <c r="G157" i="1" s="1"/>
  <c r="D135" i="1"/>
  <c r="C135" i="1" s="1"/>
  <c r="F135" i="1" s="1"/>
  <c r="G135" i="1" s="1"/>
  <c r="D118" i="1"/>
  <c r="D96" i="1"/>
  <c r="D74" i="1"/>
  <c r="D52" i="1"/>
  <c r="D35" i="1"/>
  <c r="C35" i="1" s="1"/>
  <c r="D13" i="1"/>
  <c r="C13" i="1" s="1"/>
  <c r="D477" i="1"/>
  <c r="C477" i="1" s="1"/>
  <c r="F477" i="1" s="1"/>
  <c r="G477" i="1" s="1"/>
  <c r="D465" i="1"/>
  <c r="C465" i="1" s="1"/>
  <c r="F465" i="1" s="1"/>
  <c r="G465" i="1" s="1"/>
  <c r="D453" i="1"/>
  <c r="C453" i="1" s="1"/>
  <c r="F453" i="1" s="1"/>
  <c r="G453" i="1" s="1"/>
  <c r="D441" i="1"/>
  <c r="C441" i="1" s="1"/>
  <c r="F441" i="1" s="1"/>
  <c r="G441" i="1" s="1"/>
  <c r="D429" i="1"/>
  <c r="C429" i="1" s="1"/>
  <c r="F429" i="1" s="1"/>
  <c r="G429" i="1" s="1"/>
  <c r="D417" i="1"/>
  <c r="C417" i="1" s="1"/>
  <c r="F417" i="1" s="1"/>
  <c r="G417" i="1" s="1"/>
  <c r="D405" i="1"/>
  <c r="C405" i="1" s="1"/>
  <c r="F405" i="1" s="1"/>
  <c r="G405" i="1" s="1"/>
  <c r="D393" i="1"/>
  <c r="C393" i="1" s="1"/>
  <c r="F393" i="1" s="1"/>
  <c r="G393" i="1" s="1"/>
  <c r="D369" i="1"/>
  <c r="C369" i="1" s="1"/>
  <c r="F369" i="1" s="1"/>
  <c r="G369" i="1" s="1"/>
  <c r="D345" i="1"/>
  <c r="C345" i="1" s="1"/>
  <c r="F345" i="1" s="1"/>
  <c r="G345" i="1" s="1"/>
  <c r="D333" i="1"/>
  <c r="C333" i="1" s="1"/>
  <c r="F333" i="1" s="1"/>
  <c r="G333" i="1" s="1"/>
  <c r="D321" i="1"/>
  <c r="C321" i="1" s="1"/>
  <c r="F321" i="1" s="1"/>
  <c r="G321" i="1" s="1"/>
  <c r="D309" i="1"/>
  <c r="C309" i="1" s="1"/>
  <c r="F309" i="1" s="1"/>
  <c r="G309" i="1" s="1"/>
  <c r="D297" i="1"/>
  <c r="C297" i="1" s="1"/>
  <c r="F297" i="1" s="1"/>
  <c r="G297" i="1" s="1"/>
  <c r="D285" i="1"/>
  <c r="C285" i="1" s="1"/>
  <c r="F285" i="1" s="1"/>
  <c r="G285" i="1" s="1"/>
  <c r="D273" i="1"/>
  <c r="C273" i="1" s="1"/>
  <c r="F273" i="1" s="1"/>
  <c r="G273" i="1" s="1"/>
  <c r="D261" i="1"/>
  <c r="C261" i="1" s="1"/>
  <c r="F261" i="1" s="1"/>
  <c r="G261" i="1" s="1"/>
  <c r="D249" i="1"/>
  <c r="C249" i="1" s="1"/>
  <c r="F249" i="1" s="1"/>
  <c r="G249" i="1" s="1"/>
  <c r="D237" i="1"/>
  <c r="C237" i="1" s="1"/>
  <c r="F237" i="1" s="1"/>
  <c r="G237" i="1" s="1"/>
  <c r="D225" i="1"/>
  <c r="C225" i="1" s="1"/>
  <c r="F225" i="1" s="1"/>
  <c r="G225" i="1" s="1"/>
  <c r="D213" i="1"/>
  <c r="C213" i="1" s="1"/>
  <c r="F213" i="1" s="1"/>
  <c r="G213" i="1" s="1"/>
  <c r="D201" i="1"/>
  <c r="C201" i="1" s="1"/>
  <c r="F201" i="1" s="1"/>
  <c r="G201" i="1" s="1"/>
  <c r="D189" i="1"/>
  <c r="C189" i="1" s="1"/>
  <c r="F189" i="1" s="1"/>
  <c r="G189" i="1" s="1"/>
  <c r="D177" i="1"/>
  <c r="C177" i="1" s="1"/>
  <c r="F177" i="1" s="1"/>
  <c r="G177" i="1" s="1"/>
  <c r="D165" i="1"/>
  <c r="C165" i="1" s="1"/>
  <c r="F165" i="1" s="1"/>
  <c r="G165" i="1" s="1"/>
  <c r="D153" i="1"/>
  <c r="C153" i="1" s="1"/>
  <c r="F153" i="1" s="1"/>
  <c r="G153" i="1" s="1"/>
  <c r="D141" i="1"/>
  <c r="C141" i="1" s="1"/>
  <c r="F141" i="1" s="1"/>
  <c r="G141" i="1" s="1"/>
  <c r="D129" i="1"/>
  <c r="C129" i="1" s="1"/>
  <c r="F129" i="1" s="1"/>
  <c r="G129" i="1" s="1"/>
  <c r="D117" i="1"/>
  <c r="D105" i="1"/>
  <c r="D93" i="1"/>
  <c r="D81" i="1"/>
  <c r="D69" i="1"/>
  <c r="D57" i="1"/>
  <c r="D45" i="1"/>
  <c r="D33" i="1"/>
  <c r="C33" i="1" s="1"/>
  <c r="D21" i="1"/>
  <c r="C21" i="1" s="1"/>
  <c r="D9" i="1"/>
  <c r="C9" i="1" s="1"/>
  <c r="D381" i="1"/>
  <c r="C381" i="1" s="1"/>
  <c r="F381" i="1" s="1"/>
  <c r="G381" i="1" s="1"/>
  <c r="D476" i="1"/>
  <c r="C476" i="1" s="1"/>
  <c r="F476" i="1" s="1"/>
  <c r="G476" i="1" s="1"/>
  <c r="D452" i="1"/>
  <c r="C452" i="1" s="1"/>
  <c r="F452" i="1" s="1"/>
  <c r="G452" i="1" s="1"/>
  <c r="D416" i="1"/>
  <c r="C416" i="1" s="1"/>
  <c r="F416" i="1" s="1"/>
  <c r="G416" i="1" s="1"/>
  <c r="D404" i="1"/>
  <c r="C404" i="1" s="1"/>
  <c r="F404" i="1" s="1"/>
  <c r="G404" i="1" s="1"/>
  <c r="D380" i="1"/>
  <c r="C380" i="1" s="1"/>
  <c r="F380" i="1" s="1"/>
  <c r="G380" i="1" s="1"/>
  <c r="D368" i="1"/>
  <c r="C368" i="1" s="1"/>
  <c r="F368" i="1" s="1"/>
  <c r="G368" i="1" s="1"/>
  <c r="D356" i="1"/>
  <c r="C356" i="1" s="1"/>
  <c r="F356" i="1" s="1"/>
  <c r="G356" i="1" s="1"/>
  <c r="D332" i="1"/>
  <c r="C332" i="1" s="1"/>
  <c r="F332" i="1" s="1"/>
  <c r="G332" i="1" s="1"/>
  <c r="D320" i="1"/>
  <c r="C320" i="1" s="1"/>
  <c r="F320" i="1" s="1"/>
  <c r="G320" i="1" s="1"/>
  <c r="D308" i="1"/>
  <c r="C308" i="1" s="1"/>
  <c r="F308" i="1" s="1"/>
  <c r="G308" i="1" s="1"/>
  <c r="D296" i="1"/>
  <c r="C296" i="1" s="1"/>
  <c r="F296" i="1" s="1"/>
  <c r="G296" i="1" s="1"/>
  <c r="D284" i="1"/>
  <c r="C284" i="1" s="1"/>
  <c r="F284" i="1" s="1"/>
  <c r="G284" i="1" s="1"/>
  <c r="D272" i="1"/>
  <c r="D260" i="1"/>
  <c r="C260" i="1" s="1"/>
  <c r="F260" i="1" s="1"/>
  <c r="G260" i="1" s="1"/>
  <c r="D248" i="1"/>
  <c r="C248" i="1" s="1"/>
  <c r="F248" i="1" s="1"/>
  <c r="G248" i="1" s="1"/>
  <c r="D236" i="1"/>
  <c r="C236" i="1" s="1"/>
  <c r="F236" i="1" s="1"/>
  <c r="G236" i="1" s="1"/>
  <c r="D224" i="1"/>
  <c r="C224" i="1" s="1"/>
  <c r="F224" i="1" s="1"/>
  <c r="G224" i="1" s="1"/>
  <c r="D212" i="1"/>
  <c r="C212" i="1" s="1"/>
  <c r="F212" i="1" s="1"/>
  <c r="G212" i="1" s="1"/>
  <c r="D200" i="1"/>
  <c r="C200" i="1" s="1"/>
  <c r="F200" i="1" s="1"/>
  <c r="G200" i="1" s="1"/>
  <c r="D188" i="1"/>
  <c r="C188" i="1" s="1"/>
  <c r="F188" i="1" s="1"/>
  <c r="G188" i="1" s="1"/>
  <c r="D176" i="1"/>
  <c r="C176" i="1" s="1"/>
  <c r="F176" i="1" s="1"/>
  <c r="G176" i="1" s="1"/>
  <c r="D164" i="1"/>
  <c r="C164" i="1" s="1"/>
  <c r="F164" i="1" s="1"/>
  <c r="G164" i="1" s="1"/>
  <c r="D152" i="1"/>
  <c r="C152" i="1" s="1"/>
  <c r="F152" i="1" s="1"/>
  <c r="G152" i="1" s="1"/>
  <c r="D140" i="1"/>
  <c r="C140" i="1" s="1"/>
  <c r="F140" i="1" s="1"/>
  <c r="G140" i="1" s="1"/>
  <c r="D128" i="1"/>
  <c r="C128" i="1" s="1"/>
  <c r="F128" i="1" s="1"/>
  <c r="G128" i="1" s="1"/>
  <c r="D116" i="1"/>
  <c r="D104" i="1"/>
  <c r="D92" i="1"/>
  <c r="D80" i="1"/>
  <c r="D68" i="1"/>
  <c r="D56" i="1"/>
  <c r="D44" i="1"/>
  <c r="D32" i="1"/>
  <c r="C32" i="1" s="1"/>
  <c r="D20" i="1"/>
  <c r="C20" i="1" s="1"/>
  <c r="D8" i="1"/>
  <c r="C8" i="1" s="1"/>
  <c r="D357" i="1"/>
  <c r="C357" i="1" s="1"/>
  <c r="F357" i="1" s="1"/>
  <c r="G357" i="1" s="1"/>
  <c r="D488" i="1"/>
  <c r="C488" i="1" s="1"/>
  <c r="F488" i="1" s="1"/>
  <c r="G488" i="1" s="1"/>
  <c r="D464" i="1"/>
  <c r="C464" i="1" s="1"/>
  <c r="F464" i="1" s="1"/>
  <c r="G464" i="1" s="1"/>
  <c r="D440" i="1"/>
  <c r="C440" i="1" s="1"/>
  <c r="F440" i="1" s="1"/>
  <c r="G440" i="1" s="1"/>
  <c r="D428" i="1"/>
  <c r="C428" i="1" s="1"/>
  <c r="F428" i="1" s="1"/>
  <c r="G428" i="1" s="1"/>
  <c r="D392" i="1"/>
  <c r="C392" i="1" s="1"/>
  <c r="F392" i="1" s="1"/>
  <c r="G392" i="1" s="1"/>
  <c r="D344" i="1"/>
  <c r="C344" i="1" s="1"/>
  <c r="F344" i="1" s="1"/>
  <c r="G344" i="1" s="1"/>
  <c r="D487" i="1"/>
  <c r="C487" i="1" s="1"/>
  <c r="F487" i="1" s="1"/>
  <c r="G487" i="1" s="1"/>
  <c r="D475" i="1"/>
  <c r="C475" i="1" s="1"/>
  <c r="F475" i="1" s="1"/>
  <c r="G475" i="1" s="1"/>
  <c r="D463" i="1"/>
  <c r="C463" i="1" s="1"/>
  <c r="F463" i="1" s="1"/>
  <c r="G463" i="1" s="1"/>
  <c r="D451" i="1"/>
  <c r="C451" i="1" s="1"/>
  <c r="F451" i="1" s="1"/>
  <c r="G451" i="1" s="1"/>
  <c r="D439" i="1"/>
  <c r="C439" i="1" s="1"/>
  <c r="F439" i="1" s="1"/>
  <c r="G439" i="1" s="1"/>
  <c r="D427" i="1"/>
  <c r="C427" i="1" s="1"/>
  <c r="F427" i="1" s="1"/>
  <c r="G427" i="1" s="1"/>
  <c r="D415" i="1"/>
  <c r="C415" i="1" s="1"/>
  <c r="F415" i="1" s="1"/>
  <c r="G415" i="1" s="1"/>
  <c r="D403" i="1"/>
  <c r="C403" i="1" s="1"/>
  <c r="F403" i="1" s="1"/>
  <c r="G403" i="1" s="1"/>
  <c r="D391" i="1"/>
  <c r="C391" i="1" s="1"/>
  <c r="F391" i="1" s="1"/>
  <c r="G391" i="1" s="1"/>
  <c r="D379" i="1"/>
  <c r="C379" i="1" s="1"/>
  <c r="F379" i="1" s="1"/>
  <c r="G379" i="1" s="1"/>
  <c r="D367" i="1"/>
  <c r="C367" i="1" s="1"/>
  <c r="F367" i="1" s="1"/>
  <c r="G367" i="1" s="1"/>
  <c r="D355" i="1"/>
  <c r="C355" i="1" s="1"/>
  <c r="F355" i="1" s="1"/>
  <c r="G355" i="1" s="1"/>
  <c r="D343" i="1"/>
  <c r="C343" i="1" s="1"/>
  <c r="F343" i="1" s="1"/>
  <c r="G343" i="1" s="1"/>
  <c r="D331" i="1"/>
  <c r="C331" i="1" s="1"/>
  <c r="F331" i="1" s="1"/>
  <c r="G331" i="1" s="1"/>
  <c r="D319" i="1"/>
  <c r="C319" i="1" s="1"/>
  <c r="F319" i="1" s="1"/>
  <c r="G319" i="1" s="1"/>
  <c r="D307" i="1"/>
  <c r="C307" i="1" s="1"/>
  <c r="F307" i="1" s="1"/>
  <c r="G307" i="1" s="1"/>
  <c r="D295" i="1"/>
  <c r="C295" i="1" s="1"/>
  <c r="F295" i="1" s="1"/>
  <c r="G295" i="1" s="1"/>
  <c r="D283" i="1"/>
  <c r="C283" i="1" s="1"/>
  <c r="F283" i="1" s="1"/>
  <c r="G283" i="1" s="1"/>
  <c r="D271" i="1"/>
  <c r="C271" i="1" s="1"/>
  <c r="F271" i="1" s="1"/>
  <c r="G271" i="1" s="1"/>
  <c r="D259" i="1"/>
  <c r="C259" i="1" s="1"/>
  <c r="F259" i="1" s="1"/>
  <c r="G259" i="1" s="1"/>
  <c r="D247" i="1"/>
  <c r="C247" i="1" s="1"/>
  <c r="F247" i="1" s="1"/>
  <c r="G247" i="1" s="1"/>
  <c r="D235" i="1"/>
  <c r="C235" i="1" s="1"/>
  <c r="F235" i="1" s="1"/>
  <c r="G235" i="1" s="1"/>
  <c r="D223" i="1"/>
  <c r="C223" i="1" s="1"/>
  <c r="F223" i="1" s="1"/>
  <c r="G223" i="1" s="1"/>
  <c r="D211" i="1"/>
  <c r="C211" i="1" s="1"/>
  <c r="F211" i="1" s="1"/>
  <c r="G211" i="1" s="1"/>
  <c r="D199" i="1"/>
  <c r="C199" i="1" s="1"/>
  <c r="F199" i="1" s="1"/>
  <c r="G199" i="1" s="1"/>
  <c r="D187" i="1"/>
  <c r="C187" i="1" s="1"/>
  <c r="F187" i="1" s="1"/>
  <c r="G187" i="1" s="1"/>
  <c r="D175" i="1"/>
  <c r="C175" i="1" s="1"/>
  <c r="F175" i="1" s="1"/>
  <c r="G175" i="1" s="1"/>
  <c r="D163" i="1"/>
  <c r="C163" i="1" s="1"/>
  <c r="F163" i="1" s="1"/>
  <c r="G163" i="1" s="1"/>
  <c r="D151" i="1"/>
  <c r="C151" i="1" s="1"/>
  <c r="F151" i="1" s="1"/>
  <c r="G151" i="1" s="1"/>
  <c r="D139" i="1"/>
  <c r="C139" i="1" s="1"/>
  <c r="F139" i="1" s="1"/>
  <c r="G139" i="1" s="1"/>
  <c r="D127" i="1"/>
  <c r="C127" i="1" s="1"/>
  <c r="F127" i="1" s="1"/>
  <c r="G127" i="1" s="1"/>
  <c r="D115" i="1"/>
  <c r="D103" i="1"/>
  <c r="D91" i="1"/>
  <c r="D79" i="1"/>
  <c r="D67" i="1"/>
  <c r="D55" i="1"/>
  <c r="D43" i="1"/>
  <c r="D31" i="1"/>
  <c r="C31" i="1" s="1"/>
  <c r="D19" i="1"/>
  <c r="C19" i="1" s="1"/>
  <c r="D7" i="1"/>
  <c r="C7" i="1" s="1"/>
  <c r="D489" i="1"/>
  <c r="C489" i="1" s="1"/>
  <c r="F489" i="1" s="1"/>
  <c r="G489" i="1" s="1"/>
  <c r="D486" i="1"/>
  <c r="C486" i="1" s="1"/>
  <c r="F486" i="1" s="1"/>
  <c r="G486" i="1" s="1"/>
  <c r="D462" i="1"/>
  <c r="C462" i="1" s="1"/>
  <c r="F462" i="1" s="1"/>
  <c r="G462" i="1" s="1"/>
  <c r="D450" i="1"/>
  <c r="C450" i="1" s="1"/>
  <c r="F450" i="1" s="1"/>
  <c r="G450" i="1" s="1"/>
  <c r="D438" i="1"/>
  <c r="C438" i="1" s="1"/>
  <c r="F438" i="1" s="1"/>
  <c r="G438" i="1" s="1"/>
  <c r="D426" i="1"/>
  <c r="C426" i="1" s="1"/>
  <c r="F426" i="1" s="1"/>
  <c r="G426" i="1" s="1"/>
  <c r="D414" i="1"/>
  <c r="C414" i="1" s="1"/>
  <c r="F414" i="1" s="1"/>
  <c r="G414" i="1" s="1"/>
  <c r="D402" i="1"/>
  <c r="C402" i="1" s="1"/>
  <c r="F402" i="1" s="1"/>
  <c r="G402" i="1" s="1"/>
  <c r="D390" i="1"/>
  <c r="C390" i="1" s="1"/>
  <c r="F390" i="1" s="1"/>
  <c r="G390" i="1" s="1"/>
  <c r="D378" i="1"/>
  <c r="C378" i="1" s="1"/>
  <c r="F378" i="1" s="1"/>
  <c r="G378" i="1" s="1"/>
  <c r="D366" i="1"/>
  <c r="C366" i="1" s="1"/>
  <c r="F366" i="1" s="1"/>
  <c r="G366" i="1" s="1"/>
  <c r="D354" i="1"/>
  <c r="C354" i="1" s="1"/>
  <c r="F354" i="1" s="1"/>
  <c r="G354" i="1" s="1"/>
  <c r="D342" i="1"/>
  <c r="C342" i="1" s="1"/>
  <c r="F342" i="1" s="1"/>
  <c r="G342" i="1" s="1"/>
  <c r="D330" i="1"/>
  <c r="C330" i="1" s="1"/>
  <c r="F330" i="1" s="1"/>
  <c r="G330" i="1" s="1"/>
  <c r="D318" i="1"/>
  <c r="C318" i="1" s="1"/>
  <c r="F318" i="1" s="1"/>
  <c r="G318" i="1" s="1"/>
  <c r="D306" i="1"/>
  <c r="C306" i="1" s="1"/>
  <c r="F306" i="1" s="1"/>
  <c r="G306" i="1" s="1"/>
  <c r="D294" i="1"/>
  <c r="C294" i="1" s="1"/>
  <c r="F294" i="1" s="1"/>
  <c r="G294" i="1" s="1"/>
  <c r="D282" i="1"/>
  <c r="C282" i="1" s="1"/>
  <c r="F282" i="1" s="1"/>
  <c r="G282" i="1" s="1"/>
  <c r="D270" i="1"/>
  <c r="C270" i="1" s="1"/>
  <c r="F270" i="1" s="1"/>
  <c r="G270" i="1" s="1"/>
  <c r="D258" i="1"/>
  <c r="C258" i="1" s="1"/>
  <c r="F258" i="1" s="1"/>
  <c r="G258" i="1" s="1"/>
  <c r="D246" i="1"/>
  <c r="C246" i="1" s="1"/>
  <c r="F246" i="1" s="1"/>
  <c r="G246" i="1" s="1"/>
  <c r="D234" i="1"/>
  <c r="C234" i="1" s="1"/>
  <c r="F234" i="1" s="1"/>
  <c r="G234" i="1" s="1"/>
  <c r="D222" i="1"/>
  <c r="C222" i="1" s="1"/>
  <c r="F222" i="1" s="1"/>
  <c r="G222" i="1" s="1"/>
  <c r="D210" i="1"/>
  <c r="C210" i="1" s="1"/>
  <c r="F210" i="1" s="1"/>
  <c r="G210" i="1" s="1"/>
  <c r="D198" i="1"/>
  <c r="C198" i="1" s="1"/>
  <c r="F198" i="1" s="1"/>
  <c r="G198" i="1" s="1"/>
  <c r="D186" i="1"/>
  <c r="C186" i="1" s="1"/>
  <c r="F186" i="1" s="1"/>
  <c r="G186" i="1" s="1"/>
  <c r="D174" i="1"/>
  <c r="C174" i="1" s="1"/>
  <c r="F174" i="1" s="1"/>
  <c r="G174" i="1" s="1"/>
  <c r="D162" i="1"/>
  <c r="C162" i="1" s="1"/>
  <c r="F162" i="1" s="1"/>
  <c r="G162" i="1" s="1"/>
  <c r="D150" i="1"/>
  <c r="C150" i="1" s="1"/>
  <c r="F150" i="1" s="1"/>
  <c r="G150" i="1" s="1"/>
  <c r="D138" i="1"/>
  <c r="C138" i="1" s="1"/>
  <c r="F138" i="1" s="1"/>
  <c r="G138" i="1" s="1"/>
  <c r="D126" i="1"/>
  <c r="C126" i="1" s="1"/>
  <c r="F126" i="1" s="1"/>
  <c r="G126" i="1" s="1"/>
  <c r="D114" i="1"/>
  <c r="D102" i="1"/>
  <c r="D90" i="1"/>
  <c r="D78" i="1"/>
  <c r="D66" i="1"/>
  <c r="D54" i="1"/>
  <c r="D42" i="1"/>
  <c r="D30" i="1"/>
  <c r="C30" i="1" s="1"/>
  <c r="D18" i="1"/>
  <c r="C18" i="1" s="1"/>
  <c r="D6" i="1"/>
  <c r="C6" i="1" s="1"/>
  <c r="D474" i="1"/>
  <c r="C474" i="1" s="1"/>
  <c r="F474" i="1" s="1"/>
  <c r="G474" i="1" s="1"/>
  <c r="D2" i="1"/>
  <c r="D485" i="1"/>
  <c r="C485" i="1" s="1"/>
  <c r="F485" i="1" s="1"/>
  <c r="G485" i="1" s="1"/>
  <c r="D473" i="1"/>
  <c r="C473" i="1" s="1"/>
  <c r="F473" i="1" s="1"/>
  <c r="G473" i="1" s="1"/>
  <c r="D461" i="1"/>
  <c r="C461" i="1" s="1"/>
  <c r="F461" i="1" s="1"/>
  <c r="G461" i="1" s="1"/>
  <c r="D449" i="1"/>
  <c r="C449" i="1" s="1"/>
  <c r="F449" i="1" s="1"/>
  <c r="G449" i="1" s="1"/>
  <c r="D437" i="1"/>
  <c r="C437" i="1" s="1"/>
  <c r="F437" i="1" s="1"/>
  <c r="G437" i="1" s="1"/>
  <c r="D425" i="1"/>
  <c r="C425" i="1" s="1"/>
  <c r="F425" i="1" s="1"/>
  <c r="G425" i="1" s="1"/>
  <c r="D413" i="1"/>
  <c r="C413" i="1" s="1"/>
  <c r="F413" i="1" s="1"/>
  <c r="G413" i="1" s="1"/>
  <c r="D401" i="1"/>
  <c r="C401" i="1" s="1"/>
  <c r="F401" i="1" s="1"/>
  <c r="G401" i="1" s="1"/>
  <c r="D389" i="1"/>
  <c r="C389" i="1" s="1"/>
  <c r="F389" i="1" s="1"/>
  <c r="G389" i="1" s="1"/>
  <c r="D377" i="1"/>
  <c r="C377" i="1" s="1"/>
  <c r="F377" i="1" s="1"/>
  <c r="G377" i="1" s="1"/>
  <c r="D365" i="1"/>
  <c r="C365" i="1" s="1"/>
  <c r="F365" i="1" s="1"/>
  <c r="G365" i="1" s="1"/>
  <c r="D353" i="1"/>
  <c r="C353" i="1" s="1"/>
  <c r="F353" i="1" s="1"/>
  <c r="G353" i="1" s="1"/>
  <c r="D341" i="1"/>
  <c r="C341" i="1" s="1"/>
  <c r="F341" i="1" s="1"/>
  <c r="G341" i="1" s="1"/>
  <c r="D329" i="1"/>
  <c r="C329" i="1" s="1"/>
  <c r="F329" i="1" s="1"/>
  <c r="G329" i="1" s="1"/>
  <c r="D317" i="1"/>
  <c r="C317" i="1" s="1"/>
  <c r="F317" i="1" s="1"/>
  <c r="G317" i="1" s="1"/>
  <c r="D305" i="1"/>
  <c r="C305" i="1" s="1"/>
  <c r="F305" i="1" s="1"/>
  <c r="G305" i="1" s="1"/>
  <c r="D293" i="1"/>
  <c r="C293" i="1" s="1"/>
  <c r="F293" i="1" s="1"/>
  <c r="G293" i="1" s="1"/>
  <c r="D281" i="1"/>
  <c r="C281" i="1" s="1"/>
  <c r="F281" i="1" s="1"/>
  <c r="G281" i="1" s="1"/>
  <c r="D269" i="1"/>
  <c r="C269" i="1" s="1"/>
  <c r="F269" i="1" s="1"/>
  <c r="G269" i="1" s="1"/>
  <c r="D257" i="1"/>
  <c r="C257" i="1" s="1"/>
  <c r="F257" i="1" s="1"/>
  <c r="G257" i="1" s="1"/>
  <c r="D245" i="1"/>
  <c r="C245" i="1" s="1"/>
  <c r="F245" i="1" s="1"/>
  <c r="G245" i="1" s="1"/>
  <c r="D233" i="1"/>
  <c r="C233" i="1" s="1"/>
  <c r="F233" i="1" s="1"/>
  <c r="G233" i="1" s="1"/>
  <c r="D221" i="1"/>
  <c r="C221" i="1" s="1"/>
  <c r="F221" i="1" s="1"/>
  <c r="G221" i="1" s="1"/>
  <c r="D209" i="1"/>
  <c r="C209" i="1" s="1"/>
  <c r="F209" i="1" s="1"/>
  <c r="G209" i="1" s="1"/>
  <c r="D197" i="1"/>
  <c r="C197" i="1" s="1"/>
  <c r="F197" i="1" s="1"/>
  <c r="G197" i="1" s="1"/>
  <c r="D185" i="1"/>
  <c r="C185" i="1" s="1"/>
  <c r="F185" i="1" s="1"/>
  <c r="G185" i="1" s="1"/>
  <c r="D173" i="1"/>
  <c r="C173" i="1" s="1"/>
  <c r="F173" i="1" s="1"/>
  <c r="G173" i="1" s="1"/>
  <c r="D161" i="1"/>
  <c r="C161" i="1" s="1"/>
  <c r="F161" i="1" s="1"/>
  <c r="G161" i="1" s="1"/>
  <c r="D149" i="1"/>
  <c r="C149" i="1" s="1"/>
  <c r="F149" i="1" s="1"/>
  <c r="G149" i="1" s="1"/>
  <c r="D137" i="1"/>
  <c r="C137" i="1" s="1"/>
  <c r="F137" i="1" s="1"/>
  <c r="G137" i="1" s="1"/>
  <c r="D125" i="1"/>
  <c r="C125" i="1" s="1"/>
  <c r="F125" i="1" s="1"/>
  <c r="G125" i="1" s="1"/>
  <c r="D113" i="1"/>
  <c r="D101" i="1"/>
  <c r="D89" i="1"/>
  <c r="D77" i="1"/>
  <c r="D65" i="1"/>
  <c r="D53" i="1"/>
  <c r="D41" i="1"/>
  <c r="D29" i="1"/>
  <c r="C29" i="1" s="1"/>
  <c r="D17" i="1"/>
  <c r="C17" i="1" s="1"/>
  <c r="C105" i="1" l="1"/>
  <c r="F105" i="1" s="1"/>
  <c r="G105" i="1" s="1"/>
  <c r="C108" i="1"/>
  <c r="F108" i="1" s="1"/>
  <c r="G108" i="1" s="1"/>
  <c r="C77" i="1"/>
  <c r="F77" i="1" s="1"/>
  <c r="G77" i="1" s="1"/>
  <c r="C79" i="1"/>
  <c r="F79" i="1" s="1"/>
  <c r="G79" i="1" s="1"/>
  <c r="C80" i="1"/>
  <c r="F80" i="1" s="1"/>
  <c r="G80" i="1" s="1"/>
  <c r="F81" i="1"/>
  <c r="G81" i="1" s="1"/>
  <c r="C81" i="1"/>
  <c r="C96" i="1"/>
  <c r="F96" i="1" s="1"/>
  <c r="G96" i="1" s="1"/>
  <c r="C63" i="1"/>
  <c r="F63" i="1" s="1"/>
  <c r="G63" i="1" s="1"/>
  <c r="C70" i="1"/>
  <c r="F70" i="1" s="1"/>
  <c r="G70" i="1" s="1"/>
  <c r="C120" i="1"/>
  <c r="F120" i="1" s="1"/>
  <c r="G120" i="1" s="1"/>
  <c r="C73" i="1"/>
  <c r="F73" i="1" s="1"/>
  <c r="G73" i="1" s="1"/>
  <c r="F110" i="1"/>
  <c r="G110" i="1" s="1"/>
  <c r="C110" i="1"/>
  <c r="C93" i="1"/>
  <c r="F93" i="1" s="1"/>
  <c r="G93" i="1" s="1"/>
  <c r="C118" i="1"/>
  <c r="F118" i="1" s="1"/>
  <c r="G118" i="1" s="1"/>
  <c r="C362" i="1"/>
  <c r="AI14" i="1"/>
  <c r="C86" i="1"/>
  <c r="F86" i="1" s="1"/>
  <c r="G86" i="1" s="1"/>
  <c r="C47" i="1"/>
  <c r="F47" i="1" s="1"/>
  <c r="G47" i="1" s="1"/>
  <c r="F95" i="1"/>
  <c r="G95" i="1" s="1"/>
  <c r="C95" i="1"/>
  <c r="C46" i="1"/>
  <c r="F46" i="1" s="1"/>
  <c r="G46" i="1" s="1"/>
  <c r="C112" i="1"/>
  <c r="F112" i="1" s="1"/>
  <c r="G112" i="1" s="1"/>
  <c r="C71" i="1"/>
  <c r="F71" i="1" s="1"/>
  <c r="G71" i="1" s="1"/>
  <c r="C94" i="1"/>
  <c r="F94" i="1" s="1"/>
  <c r="G94" i="1" s="1"/>
  <c r="C49" i="1"/>
  <c r="F49" i="1" s="1"/>
  <c r="G49" i="1" s="1"/>
  <c r="F503" i="1"/>
  <c r="G503" i="1" s="1"/>
  <c r="F92" i="1"/>
  <c r="G92" i="1" s="1"/>
  <c r="C92" i="1"/>
  <c r="C61" i="1"/>
  <c r="F61" i="1" s="1"/>
  <c r="G61" i="1" s="1"/>
  <c r="C104" i="1"/>
  <c r="F104" i="1" s="1"/>
  <c r="G104" i="1" s="1"/>
  <c r="C115" i="1"/>
  <c r="F115" i="1" s="1"/>
  <c r="G115" i="1" s="1"/>
  <c r="C89" i="1"/>
  <c r="F89" i="1" s="1"/>
  <c r="G89" i="1" s="1"/>
  <c r="C91" i="1"/>
  <c r="F91" i="1" s="1"/>
  <c r="G91" i="1" s="1"/>
  <c r="F116" i="1"/>
  <c r="G116" i="1" s="1"/>
  <c r="C116" i="1"/>
  <c r="C117" i="1"/>
  <c r="F117" i="1" s="1"/>
  <c r="G117" i="1" s="1"/>
  <c r="C272" i="1"/>
  <c r="AI13" i="1"/>
  <c r="C62" i="1"/>
  <c r="F62" i="1" s="1"/>
  <c r="G62" i="1" s="1"/>
  <c r="C83" i="1"/>
  <c r="F83" i="1" s="1"/>
  <c r="G83" i="1" s="1"/>
  <c r="C54" i="1"/>
  <c r="F54" i="1" s="1"/>
  <c r="G54" i="1" s="1"/>
  <c r="F78" i="1"/>
  <c r="G78" i="1" s="1"/>
  <c r="C78" i="1"/>
  <c r="C97" i="1"/>
  <c r="F97" i="1" s="1"/>
  <c r="G97" i="1" s="1"/>
  <c r="C85" i="1"/>
  <c r="F85" i="1" s="1"/>
  <c r="G85" i="1" s="1"/>
  <c r="C109" i="1"/>
  <c r="F109" i="1" s="1"/>
  <c r="G109" i="1" s="1"/>
  <c r="C60" i="1"/>
  <c r="F60" i="1" s="1"/>
  <c r="G60" i="1" s="1"/>
  <c r="C113" i="1"/>
  <c r="F113" i="1" s="1"/>
  <c r="G113" i="1" s="1"/>
  <c r="F64" i="1"/>
  <c r="G64" i="1" s="1"/>
  <c r="C64" i="1"/>
  <c r="C66" i="1"/>
  <c r="F66" i="1" s="1"/>
  <c r="G66" i="1" s="1"/>
  <c r="C107" i="1"/>
  <c r="F107" i="1" s="1"/>
  <c r="G107" i="1" s="1"/>
  <c r="C119" i="1"/>
  <c r="F119" i="1" s="1"/>
  <c r="G119" i="1" s="1"/>
  <c r="C82" i="1"/>
  <c r="F82" i="1" s="1"/>
  <c r="G82" i="1" s="1"/>
  <c r="C111" i="1"/>
  <c r="F111" i="1" s="1"/>
  <c r="G111" i="1" s="1"/>
  <c r="F75" i="1"/>
  <c r="G75" i="1" s="1"/>
  <c r="C75" i="1"/>
  <c r="C102" i="1"/>
  <c r="F102" i="1" s="1"/>
  <c r="G102" i="1" s="1"/>
  <c r="C43" i="1"/>
  <c r="F43" i="1" s="1"/>
  <c r="G43" i="1" s="1"/>
  <c r="C44" i="1"/>
  <c r="F44" i="1" s="1"/>
  <c r="G44" i="1" s="1"/>
  <c r="C45" i="1"/>
  <c r="F45" i="1" s="1"/>
  <c r="G45" i="1" s="1"/>
  <c r="C59" i="1"/>
  <c r="F59" i="1" s="1"/>
  <c r="G59" i="1" s="1"/>
  <c r="F99" i="1"/>
  <c r="G99" i="1" s="1"/>
  <c r="C99" i="1"/>
  <c r="C10" i="1"/>
  <c r="F10" i="1" s="1"/>
  <c r="G10" i="1" s="1"/>
  <c r="C103" i="1"/>
  <c r="F103" i="1" s="1"/>
  <c r="G103" i="1" s="1"/>
  <c r="C87" i="1"/>
  <c r="F87" i="1" s="1"/>
  <c r="G87" i="1" s="1"/>
  <c r="C58" i="1"/>
  <c r="F58" i="1" s="1"/>
  <c r="G58" i="1" s="1"/>
  <c r="C72" i="1"/>
  <c r="F72" i="1" s="1"/>
  <c r="G72" i="1" s="1"/>
  <c r="F90" i="1"/>
  <c r="G90" i="1" s="1"/>
  <c r="C90" i="1"/>
  <c r="C41" i="1"/>
  <c r="F41" i="1" s="1"/>
  <c r="G41" i="1" s="1"/>
  <c r="C76" i="1"/>
  <c r="F76" i="1" s="1"/>
  <c r="G76" i="1" s="1"/>
  <c r="C121" i="1"/>
  <c r="F121" i="1" s="1"/>
  <c r="G121" i="1" s="1"/>
  <c r="C48" i="1"/>
  <c r="F48" i="1" s="1"/>
  <c r="G48" i="1" s="1"/>
  <c r="C84" i="1"/>
  <c r="F84" i="1" s="1"/>
  <c r="G84" i="1" s="1"/>
  <c r="F50" i="1"/>
  <c r="G50" i="1" s="1"/>
  <c r="C50" i="1"/>
  <c r="C88" i="1"/>
  <c r="F88" i="1" s="1"/>
  <c r="G88" i="1" s="1"/>
  <c r="C101" i="1"/>
  <c r="F101" i="1" s="1"/>
  <c r="G101" i="1" s="1"/>
  <c r="C42" i="1"/>
  <c r="F42" i="1" s="1"/>
  <c r="G42" i="1" s="1"/>
  <c r="C100" i="1"/>
  <c r="F100" i="1" s="1"/>
  <c r="G100" i="1" s="1"/>
  <c r="C122" i="1"/>
  <c r="AI12" i="1"/>
  <c r="F53" i="1"/>
  <c r="G53" i="1" s="1"/>
  <c r="C53" i="1"/>
  <c r="C114" i="1"/>
  <c r="F114" i="1" s="1"/>
  <c r="G114" i="1" s="1"/>
  <c r="C55" i="1"/>
  <c r="F55" i="1" s="1"/>
  <c r="G55" i="1" s="1"/>
  <c r="C56" i="1"/>
  <c r="F56" i="1" s="1"/>
  <c r="G56" i="1" s="1"/>
  <c r="C57" i="1"/>
  <c r="F57" i="1" s="1"/>
  <c r="G57" i="1" s="1"/>
  <c r="C52" i="1"/>
  <c r="F52" i="1" s="1"/>
  <c r="G52" i="1" s="1"/>
  <c r="F65" i="1"/>
  <c r="G65" i="1" s="1"/>
  <c r="C65" i="1"/>
  <c r="AI11" i="1"/>
  <c r="C67" i="1"/>
  <c r="F67" i="1" s="1"/>
  <c r="G67" i="1" s="1"/>
  <c r="C68" i="1"/>
  <c r="F68" i="1" s="1"/>
  <c r="G68" i="1" s="1"/>
  <c r="C69" i="1"/>
  <c r="F69" i="1" s="1"/>
  <c r="G69" i="1" s="1"/>
  <c r="C74" i="1"/>
  <c r="F74" i="1" s="1"/>
  <c r="G74" i="1" s="1"/>
  <c r="F98" i="1"/>
  <c r="G98" i="1" s="1"/>
  <c r="C98" i="1"/>
  <c r="C106" i="1"/>
  <c r="F106" i="1" s="1"/>
  <c r="G106" i="1" s="1"/>
  <c r="C51" i="1"/>
  <c r="F51" i="1" s="1"/>
  <c r="G51" i="1" s="1"/>
  <c r="AH17" i="1"/>
  <c r="AK17" i="1" s="1"/>
  <c r="AH18" i="1"/>
  <c r="AK18" i="1" s="1"/>
  <c r="F34" i="1"/>
  <c r="G34" i="1" s="1"/>
  <c r="F16" i="1"/>
  <c r="G16" i="1" s="1"/>
  <c r="F25" i="1"/>
  <c r="G25" i="1" s="1"/>
  <c r="F24" i="1"/>
  <c r="G24" i="1" s="1"/>
  <c r="F26" i="1"/>
  <c r="G26" i="1" s="1"/>
  <c r="F6" i="1"/>
  <c r="G6" i="1" s="1"/>
  <c r="F14" i="1"/>
  <c r="G14" i="1" s="1"/>
  <c r="F7" i="1"/>
  <c r="G7" i="1" s="1"/>
  <c r="F8" i="1"/>
  <c r="G8" i="1" s="1"/>
  <c r="F9" i="1"/>
  <c r="G9" i="1" s="1"/>
  <c r="F4" i="1"/>
  <c r="G4" i="1" s="1"/>
  <c r="F38" i="1"/>
  <c r="G38" i="1" s="1"/>
  <c r="F3" i="1"/>
  <c r="G3" i="1" s="1"/>
  <c r="F36" i="1"/>
  <c r="G36" i="1" s="1"/>
  <c r="F17" i="1"/>
  <c r="G17" i="1" s="1"/>
  <c r="F19" i="1"/>
  <c r="G19" i="1" s="1"/>
  <c r="F20" i="1"/>
  <c r="G20" i="1" s="1"/>
  <c r="F21" i="1"/>
  <c r="G21" i="1" s="1"/>
  <c r="F15" i="1"/>
  <c r="G15" i="1" s="1"/>
  <c r="F28" i="1"/>
  <c r="G28" i="1" s="1"/>
  <c r="F22" i="1"/>
  <c r="G22" i="1" s="1"/>
  <c r="F18" i="1"/>
  <c r="G18" i="1" s="1"/>
  <c r="F39" i="1"/>
  <c r="G39" i="1" s="1"/>
  <c r="F33" i="1"/>
  <c r="G33" i="1" s="1"/>
  <c r="F40" i="1"/>
  <c r="G40" i="1" s="1"/>
  <c r="F37" i="1"/>
  <c r="G37" i="1" s="1"/>
  <c r="F30" i="1"/>
  <c r="G30" i="1" s="1"/>
  <c r="F29" i="1"/>
  <c r="G29" i="1" s="1"/>
  <c r="F31" i="1"/>
  <c r="G31" i="1" s="1"/>
  <c r="F32" i="1"/>
  <c r="G32" i="1" s="1"/>
  <c r="F13" i="1"/>
  <c r="G13" i="1" s="1"/>
  <c r="F35" i="1"/>
  <c r="G35" i="1" s="1"/>
  <c r="F23" i="1"/>
  <c r="G23" i="1" s="1"/>
  <c r="F12" i="1"/>
  <c r="G12" i="1" s="1"/>
  <c r="F11" i="1"/>
  <c r="G11" i="1" s="1"/>
  <c r="F362" i="1" l="1"/>
  <c r="G362" i="1" s="1"/>
  <c r="AH14" i="1"/>
  <c r="AK14" i="1" s="1"/>
  <c r="F272" i="1"/>
  <c r="G272" i="1" s="1"/>
  <c r="AH13" i="1"/>
  <c r="AK13" i="1" s="1"/>
  <c r="F122" i="1"/>
  <c r="G122" i="1" s="1"/>
  <c r="AH12" i="1"/>
  <c r="AK12" i="1" s="1"/>
  <c r="AH11" i="1"/>
  <c r="AK11" i="1" s="1"/>
  <c r="F2" i="1"/>
  <c r="G2" i="1" s="1"/>
</calcChain>
</file>

<file path=xl/sharedStrings.xml><?xml version="1.0" encoding="utf-8"?>
<sst xmlns="http://schemas.openxmlformats.org/spreadsheetml/2006/main" count="2385" uniqueCount="381">
  <si>
    <t>Date</t>
  </si>
  <si>
    <t>VWC</t>
  </si>
  <si>
    <t>Kz = ET0 - Z</t>
  </si>
  <si>
    <t>ET0</t>
  </si>
  <si>
    <t>Soil_T</t>
  </si>
  <si>
    <t>Bi</t>
  </si>
  <si>
    <t>Ksi</t>
  </si>
  <si>
    <t>n max</t>
  </si>
  <si>
    <t>Time</t>
  </si>
  <si>
    <t>Temperature</t>
  </si>
  <si>
    <t>Dew Point</t>
  </si>
  <si>
    <t>Humidity</t>
  </si>
  <si>
    <t>Wind Speed</t>
  </si>
  <si>
    <t>Pressure</t>
  </si>
  <si>
    <t>Precipitation</t>
  </si>
  <si>
    <t>Prec</t>
  </si>
  <si>
    <t>July</t>
  </si>
  <si>
    <t>° C | ° F</t>
  </si>
  <si>
    <t>%</t>
  </si>
  <si>
    <t>Kph | Mph</t>
  </si>
  <si>
    <t>Hg | Mb</t>
  </si>
  <si>
    <t>Total (mm/in)</t>
  </si>
  <si>
    <t>Tota</t>
  </si>
  <si>
    <t>19 | 66.2</t>
  </si>
  <si>
    <t>11 | 51.8</t>
  </si>
  <si>
    <t>4 | 2.49</t>
  </si>
  <si>
    <t>29.91 | 1013</t>
  </si>
  <si>
    <t>0.4 | 0.02</t>
  </si>
  <si>
    <t>20 | 68.0</t>
  </si>
  <si>
    <t>10 | 50.0</t>
  </si>
  <si>
    <t>9 | 5.59</t>
  </si>
  <si>
    <t>29.83 | 1010</t>
  </si>
  <si>
    <t>17 | 62.6</t>
  </si>
  <si>
    <t>10 | 6.21</t>
  </si>
  <si>
    <t>30.09 | 1019</t>
  </si>
  <si>
    <t>0.8 | 0.03</t>
  </si>
  <si>
    <t>15 | 59.0</t>
  </si>
  <si>
    <t>13 | 8.08</t>
  </si>
  <si>
    <t>3 | 37.4</t>
  </si>
  <si>
    <t>6 | 3.73</t>
  </si>
  <si>
    <t>0.0 | 0.0</t>
  </si>
  <si>
    <t>5 | 41.0</t>
  </si>
  <si>
    <t>29.8 | 1009</t>
  </si>
  <si>
    <t>4 | 39.2</t>
  </si>
  <si>
    <t>20 | 12.43</t>
  </si>
  <si>
    <t>29.68 | 1005</t>
  </si>
  <si>
    <t>16 | 9.94</t>
  </si>
  <si>
    <t>29.77 | 1008</t>
  </si>
  <si>
    <t>12 | 53.6</t>
  </si>
  <si>
    <t>11 | 6.84</t>
  </si>
  <si>
    <t>6 | 42.8</t>
  </si>
  <si>
    <t>0.1 | 0.0</t>
  </si>
  <si>
    <t>13 | 55.4</t>
  </si>
  <si>
    <t>7 | 4.35</t>
  </si>
  <si>
    <t>18 | 64.4</t>
  </si>
  <si>
    <t>8 | 4.97</t>
  </si>
  <si>
    <t>0.3 | 0.01</t>
  </si>
  <si>
    <t>8 | 46.4</t>
  </si>
  <si>
    <t>12 | 7.46</t>
  </si>
  <si>
    <t>29.71 | 1006</t>
  </si>
  <si>
    <t>29.94 | 1014</t>
  </si>
  <si>
    <t>29.97 | 1015</t>
  </si>
  <si>
    <t>1.5 | 0.06</t>
  </si>
  <si>
    <t>7 | 44.6</t>
  </si>
  <si>
    <t>29.88 | 1012</t>
  </si>
  <si>
    <t>29.74 | 1007</t>
  </si>
  <si>
    <t>0.6 | 0.02</t>
  </si>
  <si>
    <t>29.59 | 1002</t>
  </si>
  <si>
    <t>16 | 60.8</t>
  </si>
  <si>
    <t>29.85 | 1011</t>
  </si>
  <si>
    <t>júl 2015</t>
  </si>
  <si>
    <t>Priemerná teplota</t>
  </si>
  <si>
    <t>Max teplota[C]</t>
  </si>
  <si>
    <t>zrážky[mm]</t>
  </si>
  <si>
    <t>najnizsia vlhkost vzduchu [%]</t>
  </si>
  <si>
    <t>najvyssia priemerná rýchlosť vetra[m/s]</t>
  </si>
  <si>
    <t>dáta z roku 2015 ako Kanadské dáta</t>
  </si>
  <si>
    <t>júl 2020</t>
  </si>
  <si>
    <t>slnečný svit[h]</t>
  </si>
  <si>
    <t>Odparovanie[mm]</t>
  </si>
  <si>
    <t>dáta pre rok 2020 kedy už merala stanica viac hodnôt</t>
  </si>
  <si>
    <t>month</t>
  </si>
  <si>
    <t>day</t>
  </si>
  <si>
    <t>FFMC</t>
  </si>
  <si>
    <t>DMC</t>
  </si>
  <si>
    <t>DC</t>
  </si>
  <si>
    <t>ISI</t>
  </si>
  <si>
    <t>temp</t>
  </si>
  <si>
    <t>RH</t>
  </si>
  <si>
    <t>Fine Fuel Moisture Code</t>
  </si>
  <si>
    <t>mar</t>
  </si>
  <si>
    <t>fri</t>
  </si>
  <si>
    <t>51</t>
  </si>
  <si>
    <t>Duff Moisture Code </t>
  </si>
  <si>
    <t>oct</t>
  </si>
  <si>
    <t>tue</t>
  </si>
  <si>
    <t>18</t>
  </si>
  <si>
    <t>33</t>
  </si>
  <si>
    <t>Drought index</t>
  </si>
  <si>
    <t>sat</t>
  </si>
  <si>
    <t>Initial Spread Index</t>
  </si>
  <si>
    <t>9</t>
  </si>
  <si>
    <t>97</t>
  </si>
  <si>
    <t>relative humidity</t>
  </si>
  <si>
    <t>sun</t>
  </si>
  <si>
    <t>99</t>
  </si>
  <si>
    <t>aug</t>
  </si>
  <si>
    <t>488</t>
  </si>
  <si>
    <t>29</t>
  </si>
  <si>
    <t>mon</t>
  </si>
  <si>
    <t>27</t>
  </si>
  <si>
    <t>8</t>
  </si>
  <si>
    <t>86</t>
  </si>
  <si>
    <t>sep</t>
  </si>
  <si>
    <t>91</t>
  </si>
  <si>
    <t>63</t>
  </si>
  <si>
    <t>88</t>
  </si>
  <si>
    <t>40</t>
  </si>
  <si>
    <t>713</t>
  </si>
  <si>
    <t>38</t>
  </si>
  <si>
    <t>17</t>
  </si>
  <si>
    <t>72</t>
  </si>
  <si>
    <t>7</t>
  </si>
  <si>
    <t>42</t>
  </si>
  <si>
    <t>wed</t>
  </si>
  <si>
    <t>21</t>
  </si>
  <si>
    <t>44</t>
  </si>
  <si>
    <t>3</t>
  </si>
  <si>
    <t>47</t>
  </si>
  <si>
    <t>35</t>
  </si>
  <si>
    <t>apr</t>
  </si>
  <si>
    <t>jun</t>
  </si>
  <si>
    <t>200</t>
  </si>
  <si>
    <t>43</t>
  </si>
  <si>
    <t>32</t>
  </si>
  <si>
    <t>60</t>
  </si>
  <si>
    <t>668</t>
  </si>
  <si>
    <t>19</t>
  </si>
  <si>
    <t>34</t>
  </si>
  <si>
    <t>48</t>
  </si>
  <si>
    <t>24</t>
  </si>
  <si>
    <t>39</t>
  </si>
  <si>
    <t>78</t>
  </si>
  <si>
    <t>37</t>
  </si>
  <si>
    <t>62</t>
  </si>
  <si>
    <t>90</t>
  </si>
  <si>
    <t>jul</t>
  </si>
  <si>
    <t>54</t>
  </si>
  <si>
    <t>74</t>
  </si>
  <si>
    <t>70</t>
  </si>
  <si>
    <t>11</t>
  </si>
  <si>
    <t>23</t>
  </si>
  <si>
    <t>36</t>
  </si>
  <si>
    <t>5</t>
  </si>
  <si>
    <t>46</t>
  </si>
  <si>
    <t>thu</t>
  </si>
  <si>
    <t>137</t>
  </si>
  <si>
    <t>45</t>
  </si>
  <si>
    <t>50</t>
  </si>
  <si>
    <t>feb</t>
  </si>
  <si>
    <t>84</t>
  </si>
  <si>
    <t>59</t>
  </si>
  <si>
    <t>93</t>
  </si>
  <si>
    <t>31</t>
  </si>
  <si>
    <t>26</t>
  </si>
  <si>
    <t>25</t>
  </si>
  <si>
    <t>30</t>
  </si>
  <si>
    <t>79</t>
  </si>
  <si>
    <t>108</t>
  </si>
  <si>
    <t>66</t>
  </si>
  <si>
    <t>15</t>
  </si>
  <si>
    <t>22</t>
  </si>
  <si>
    <t>64</t>
  </si>
  <si>
    <t>69</t>
  </si>
  <si>
    <t>87</t>
  </si>
  <si>
    <t>jan</t>
  </si>
  <si>
    <t>52</t>
  </si>
  <si>
    <t>56</t>
  </si>
  <si>
    <t>49</t>
  </si>
  <si>
    <t>14</t>
  </si>
  <si>
    <t>58</t>
  </si>
  <si>
    <t>53</t>
  </si>
  <si>
    <t>28</t>
  </si>
  <si>
    <t>41</t>
  </si>
  <si>
    <t>67</t>
  </si>
  <si>
    <t>55</t>
  </si>
  <si>
    <t>96</t>
  </si>
  <si>
    <t>68</t>
  </si>
  <si>
    <t>73</t>
  </si>
  <si>
    <t>57</t>
  </si>
  <si>
    <t>75</t>
  </si>
  <si>
    <t>83</t>
  </si>
  <si>
    <t>20</t>
  </si>
  <si>
    <t>77</t>
  </si>
  <si>
    <t>542</t>
  </si>
  <si>
    <t>573</t>
  </si>
  <si>
    <t>13</t>
  </si>
  <si>
    <t>dec</t>
  </si>
  <si>
    <t>61</t>
  </si>
  <si>
    <t>352</t>
  </si>
  <si>
    <t>2</t>
  </si>
  <si>
    <t>71</t>
  </si>
  <si>
    <t>may</t>
  </si>
  <si>
    <t>94</t>
  </si>
  <si>
    <t>16</t>
  </si>
  <si>
    <t>119</t>
  </si>
  <si>
    <t>764</t>
  </si>
  <si>
    <t>122</t>
  </si>
  <si>
    <t>92</t>
  </si>
  <si>
    <t>290</t>
  </si>
  <si>
    <t>207</t>
  </si>
  <si>
    <t>0</t>
  </si>
  <si>
    <t>100</t>
  </si>
  <si>
    <t>643</t>
  </si>
  <si>
    <t>690</t>
  </si>
  <si>
    <t>613</t>
  </si>
  <si>
    <t>227</t>
  </si>
  <si>
    <t>12</t>
  </si>
  <si>
    <t>85</t>
  </si>
  <si>
    <t>4</t>
  </si>
  <si>
    <t>178</t>
  </si>
  <si>
    <t>80</t>
  </si>
  <si>
    <t>844</t>
  </si>
  <si>
    <t>65</t>
  </si>
  <si>
    <t>160</t>
  </si>
  <si>
    <t>76</t>
  </si>
  <si>
    <t>82</t>
  </si>
  <si>
    <t>229</t>
  </si>
  <si>
    <t>395</t>
  </si>
  <si>
    <t>560</t>
  </si>
  <si>
    <t>10</t>
  </si>
  <si>
    <t>489</t>
  </si>
  <si>
    <t>714</t>
  </si>
  <si>
    <t>201</t>
  </si>
  <si>
    <t>669</t>
  </si>
  <si>
    <t>nov</t>
  </si>
  <si>
    <t>-114.38</t>
  </si>
  <si>
    <t>62.45</t>
  </si>
  <si>
    <t>YELLOWKNIFE-HENDERSON</t>
  </si>
  <si>
    <t>x</t>
  </si>
  <si>
    <t>y</t>
  </si>
  <si>
    <t>station</t>
  </si>
  <si>
    <t>date</t>
  </si>
  <si>
    <t>1,7,2015</t>
  </si>
  <si>
    <t>19 | 66,2</t>
  </si>
  <si>
    <t>11 | 51,8</t>
  </si>
  <si>
    <t>4 | 2,49</t>
  </si>
  <si>
    <t>29,91 | 1013</t>
  </si>
  <si>
    <t>0,4 | 0,02</t>
  </si>
  <si>
    <t>2,7,2015</t>
  </si>
  <si>
    <t>20 | 68,0</t>
  </si>
  <si>
    <t>10 | 50,0</t>
  </si>
  <si>
    <t>9 | 5,59</t>
  </si>
  <si>
    <t>29,83 | 1010</t>
  </si>
  <si>
    <t>3,0 | 0,12</t>
  </si>
  <si>
    <t>3,7,2015</t>
  </si>
  <si>
    <t>17 | 62,6</t>
  </si>
  <si>
    <t>10 | 6,21</t>
  </si>
  <si>
    <t>3,2 | 0,13</t>
  </si>
  <si>
    <t>4,7,2015</t>
  </si>
  <si>
    <t>30,09 | 1019</t>
  </si>
  <si>
    <t>0,8 | 0,03</t>
  </si>
  <si>
    <t>5,7,2015</t>
  </si>
  <si>
    <t>15 | 59,0</t>
  </si>
  <si>
    <t>9 | 48,2</t>
  </si>
  <si>
    <t>13 | 8,08</t>
  </si>
  <si>
    <t>30,12 | 1020</t>
  </si>
  <si>
    <t>6,7,2015</t>
  </si>
  <si>
    <t>14 | 57,2</t>
  </si>
  <si>
    <t>3 | 37,4</t>
  </si>
  <si>
    <t>6 | 3,73</t>
  </si>
  <si>
    <t>30,21 | 1023</t>
  </si>
  <si>
    <t>0,0 | 0,0</t>
  </si>
  <si>
    <t>7,7,2015</t>
  </si>
  <si>
    <t>5 | 41,0</t>
  </si>
  <si>
    <t>5 | 3,11</t>
  </si>
  <si>
    <t>29,8 | 1009</t>
  </si>
  <si>
    <t>8,7,2015</t>
  </si>
  <si>
    <t>4 | 39,2</t>
  </si>
  <si>
    <t>20 | 12,43</t>
  </si>
  <si>
    <t>29,68 | 1005</t>
  </si>
  <si>
    <t>1,1 | 0,04</t>
  </si>
  <si>
    <t>9,7,2015</t>
  </si>
  <si>
    <t>16 | 9,94</t>
  </si>
  <si>
    <t>29,77 | 1008</t>
  </si>
  <si>
    <t>10,7,2015</t>
  </si>
  <si>
    <t>12 | 53,6</t>
  </si>
  <si>
    <t>11 | 6,84</t>
  </si>
  <si>
    <t>11,7,2015</t>
  </si>
  <si>
    <t>6 | 42,8</t>
  </si>
  <si>
    <t>12,7,2015</t>
  </si>
  <si>
    <t>1,3 | 0,05</t>
  </si>
  <si>
    <t>13,7,2015</t>
  </si>
  <si>
    <t>0,1 | 0,0</t>
  </si>
  <si>
    <t>14,7,2015</t>
  </si>
  <si>
    <t>13 | 55,4</t>
  </si>
  <si>
    <t>7 | 4,35</t>
  </si>
  <si>
    <t>15,7,2015</t>
  </si>
  <si>
    <t>18 | 64,4</t>
  </si>
  <si>
    <t>8 | 4,97</t>
  </si>
  <si>
    <t>0,3 | 0,01</t>
  </si>
  <si>
    <t>16,7,2015</t>
  </si>
  <si>
    <t>1,9 | 0,07</t>
  </si>
  <si>
    <t>17,7,2015</t>
  </si>
  <si>
    <t>8 | 46,4</t>
  </si>
  <si>
    <t>18,7,2015</t>
  </si>
  <si>
    <t>12 | 7,46</t>
  </si>
  <si>
    <t>29,71 | 1006</t>
  </si>
  <si>
    <t>0,7 | 0,03</t>
  </si>
  <si>
    <t>19,7,2015</t>
  </si>
  <si>
    <t>29,94 | 1014</t>
  </si>
  <si>
    <t>20,7,2015</t>
  </si>
  <si>
    <t>29,97 | 1015</t>
  </si>
  <si>
    <t>1,5 | 0,06</t>
  </si>
  <si>
    <t>21,7,2015</t>
  </si>
  <si>
    <t>7 | 44,6</t>
  </si>
  <si>
    <t>17 | 10,56</t>
  </si>
  <si>
    <t>29,88 | 1012</t>
  </si>
  <si>
    <t>22,7,2015</t>
  </si>
  <si>
    <t>2,1 | 0,08</t>
  </si>
  <si>
    <t>23,7,2015</t>
  </si>
  <si>
    <t>24,7,2015</t>
  </si>
  <si>
    <t>25,7,2015</t>
  </si>
  <si>
    <t>29,74 | 1007</t>
  </si>
  <si>
    <t>0,6 | 0,02</t>
  </si>
  <si>
    <t>26,7,2015</t>
  </si>
  <si>
    <t>27,7,2015</t>
  </si>
  <si>
    <t>29,59 | 1002</t>
  </si>
  <si>
    <t>28,7,2015</t>
  </si>
  <si>
    <t>16 | 60,8</t>
  </si>
  <si>
    <t>29,7,2015</t>
  </si>
  <si>
    <t>29,85 | 1011</t>
  </si>
  <si>
    <t>1,4 | 0,06</t>
  </si>
  <si>
    <t>30,7,2015</t>
  </si>
  <si>
    <t>4,4 | 0,17</t>
  </si>
  <si>
    <t>31,7,2015</t>
  </si>
  <si>
    <t>max t</t>
  </si>
  <si>
    <t>min t</t>
  </si>
  <si>
    <t>mean t</t>
  </si>
  <si>
    <t>AVG</t>
  </si>
  <si>
    <t>June</t>
  </si>
  <si>
    <t>-6 | 21.2</t>
  </si>
  <si>
    <t>-5 | 23.0</t>
  </si>
  <si>
    <t>1 | 33.8</t>
  </si>
  <si>
    <t>29.5 | 999</t>
  </si>
  <si>
    <t>0 | 32.0</t>
  </si>
  <si>
    <t>29.62 | 1003</t>
  </si>
  <si>
    <t>2 | 35.6</t>
  </si>
  <si>
    <t>29.56 | 1001</t>
  </si>
  <si>
    <t>30.0 | 1016</t>
  </si>
  <si>
    <t>14 | 8.7</t>
  </si>
  <si>
    <t>30.47 | 1032</t>
  </si>
  <si>
    <t>30.45 | 1031</t>
  </si>
  <si>
    <t>30.24 | 1024</t>
  </si>
  <si>
    <t>30.15 | 1021</t>
  </si>
  <si>
    <t>30.06 | 1018</t>
  </si>
  <si>
    <t>30.03 | 1017</t>
  </si>
  <si>
    <t>23 | 73.4</t>
  </si>
  <si>
    <t>24 | 75.2</t>
  </si>
  <si>
    <t>26 | 78.8</t>
  </si>
  <si>
    <t>3 | 1.86</t>
  </si>
  <si>
    <t>29.65 | 1004</t>
  </si>
  <si>
    <t>21 | 69.8</t>
  </si>
  <si>
    <t>7.4 | 0.29</t>
  </si>
  <si>
    <t>5.2 | 0.2</t>
  </si>
  <si>
    <t>Index</t>
  </si>
  <si>
    <t>ohrozenie</t>
  </si>
  <si>
    <t>mesiac</t>
  </si>
  <si>
    <t>Dáta použité na výpočet indexu</t>
  </si>
  <si>
    <t>Pôdny druh</t>
  </si>
  <si>
    <t>piesočnatá</t>
  </si>
  <si>
    <t>hlinitopiesočnatá</t>
  </si>
  <si>
    <t>piesočnatohlinitá</t>
  </si>
  <si>
    <t>hlinitá až ílovitá</t>
  </si>
  <si>
    <t>400 - 800 m n.m</t>
  </si>
  <si>
    <t>&lt; 400 m n.m</t>
  </si>
  <si>
    <t>&gt; 800 m n.m</t>
  </si>
  <si>
    <t>Najvyššia teplota</t>
  </si>
  <si>
    <t>Max. rýchlosť vetra[m/s]</t>
  </si>
  <si>
    <t>Najnižšia vlhkosť[%]</t>
  </si>
  <si>
    <t>Nepoužité údaje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</si>
</sst>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2"/>
      <color theme="1"/>
      <name val="Calibri"/>
      <family val="2"/>
      <charset val="238"/>
      <scheme val="minor"/>
    </font>
    <font>
      <sz val="10"/>
      <color rgb="FF000000"/>
      <name val="Helvetica Neue"/>
      <family val="2"/>
    </font>
    <font>
      <sz val="16"/>
      <color rgb="FF333333"/>
      <name val="Inherit"/>
    </font>
    <font>
      <sz val="16"/>
      <color rgb="FF999999"/>
      <name val="Inherit"/>
    </font>
    <font>
      <sz val="16"/>
      <color rgb="FF333333"/>
      <name val="Arial"/>
      <family val="2"/>
    </font>
    <font>
      <b/>
      <sz val="12"/>
      <color rgb="FF333333"/>
      <name val="Lucida Grande"/>
      <family val="2"/>
    </font>
    <font>
      <sz val="12"/>
      <color rgb="FF333333"/>
      <name val="Lucida Grande"/>
      <family val="2"/>
    </font>
    <font>
      <sz val="12"/>
      <color rgb="FF999999"/>
      <name val="Lucida Grande"/>
      <family val="2"/>
    </font>
    <font>
      <b/>
      <sz val="12"/>
      <color theme="1"/>
      <name val="Lucida Grande"/>
      <family val="2"/>
    </font>
    <font>
      <sz val="12"/>
      <color theme="1"/>
      <name val="Lucida Grande"/>
      <family val="2"/>
    </font>
    <font>
      <b/>
      <sz val="10"/>
      <color rgb="FF000000"/>
      <name val="Helvetica Neue"/>
      <family val="2"/>
    </font>
    <font>
      <sz val="8"/>
      <name val="Calibri"/>
      <family val="2"/>
      <charset val="238"/>
      <scheme val="minor"/>
    </font>
    <font>
      <sz val="12"/>
      <color theme="1"/>
      <name val="Helvetica"/>
      <family val="2"/>
    </font>
    <font>
      <sz val="16"/>
      <color rgb="FF999999"/>
      <name val="Inherit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2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4" fillId="0" borderId="0" xfId="0" applyFont="1"/>
    <xf numFmtId="2" fontId="4" fillId="0" borderId="0" xfId="0" applyNumberFormat="1" applyFont="1"/>
    <xf numFmtId="0" fontId="5" fillId="0" borderId="0" xfId="0" applyFont="1"/>
    <xf numFmtId="0" fontId="6" fillId="0" borderId="0" xfId="0" applyFont="1"/>
    <xf numFmtId="49" fontId="5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49" fontId="8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2" fontId="10" fillId="0" borderId="0" xfId="0" applyNumberFormat="1" applyFont="1"/>
    <xf numFmtId="2" fontId="1" fillId="0" borderId="0" xfId="0" applyNumberFormat="1" applyFont="1"/>
    <xf numFmtId="2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left"/>
    </xf>
    <xf numFmtId="0" fontId="10" fillId="0" borderId="0" xfId="0" applyFont="1"/>
    <xf numFmtId="14" fontId="1" fillId="0" borderId="0" xfId="0" applyNumberFormat="1" applyFont="1"/>
    <xf numFmtId="0" fontId="12" fillId="0" borderId="0" xfId="0" applyFont="1"/>
    <xf numFmtId="2" fontId="12" fillId="0" borderId="0" xfId="0" applyNumberFormat="1" applyFont="1"/>
    <xf numFmtId="0" fontId="13" fillId="0" borderId="0" xfId="0" applyFont="1"/>
    <xf numFmtId="0" fontId="0" fillId="0" borderId="1" xfId="0" applyBorder="1"/>
    <xf numFmtId="0" fontId="1" fillId="0" borderId="1" xfId="0" applyFont="1" applyBorder="1"/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2" fontId="0" fillId="3" borderId="1" xfId="0" applyNumberFormat="1" applyFill="1" applyBorder="1"/>
    <xf numFmtId="2" fontId="4" fillId="4" borderId="1" xfId="0" applyNumberFormat="1" applyFont="1" applyFill="1" applyBorder="1"/>
    <xf numFmtId="0" fontId="0" fillId="5" borderId="6" xfId="0" applyFill="1" applyBorder="1"/>
    <xf numFmtId="0" fontId="0" fillId="6" borderId="2" xfId="0" applyFill="1" applyBorder="1"/>
    <xf numFmtId="0" fontId="0" fillId="3" borderId="6" xfId="0" applyFill="1" applyBorder="1"/>
    <xf numFmtId="0" fontId="1" fillId="4" borderId="6" xfId="0" applyFont="1" applyFill="1" applyBorder="1"/>
    <xf numFmtId="0" fontId="0" fillId="4" borderId="6" xfId="0" applyFill="1" applyBorder="1"/>
    <xf numFmtId="164" fontId="1" fillId="3" borderId="6" xfId="0" applyNumberFormat="1" applyFont="1" applyFill="1" applyBorder="1"/>
    <xf numFmtId="1" fontId="14" fillId="0" borderId="1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4" fillId="4" borderId="1" xfId="0" applyFont="1" applyFill="1" applyBorder="1"/>
    <xf numFmtId="0" fontId="16" fillId="4" borderId="1" xfId="0" applyFont="1" applyFill="1" applyBorder="1"/>
    <xf numFmtId="0" fontId="14" fillId="3" borderId="1" xfId="0" applyFont="1" applyFill="1" applyBorder="1"/>
    <xf numFmtId="0" fontId="14" fillId="2" borderId="7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262B-4700-1346-94BC-E18F0745DDCB}">
  <dimension ref="A1:BE1399"/>
  <sheetViews>
    <sheetView topLeftCell="AR1" zoomScale="68" workbookViewId="0">
      <selection activeCell="BB1" sqref="BB1:BE5"/>
    </sheetView>
  </sheetViews>
  <sheetFormatPr baseColWidth="10" defaultColWidth="11" defaultRowHeight="16"/>
  <cols>
    <col min="3" max="3" width="11.33203125" bestFit="1" customWidth="1"/>
    <col min="4" max="4" width="10.83203125" style="4"/>
    <col min="11" max="11" width="13.33203125" bestFit="1" customWidth="1"/>
    <col min="12" max="12" width="17.83203125" customWidth="1"/>
    <col min="13" max="13" width="15" customWidth="1"/>
    <col min="14" max="14" width="14.1640625" customWidth="1"/>
    <col min="15" max="16" width="19" customWidth="1"/>
    <col min="17" max="17" width="15.83203125" bestFit="1" customWidth="1"/>
    <col min="19" max="19" width="10.83203125" style="2"/>
    <col min="26" max="29" width="11" style="2"/>
    <col min="31" max="31" width="11" style="2"/>
    <col min="36" max="44" width="11" style="2"/>
    <col min="54" max="54" width="14.6640625" customWidth="1"/>
    <col min="55" max="55" width="14.83203125" customWidth="1"/>
    <col min="56" max="56" width="14.6640625" bestFit="1" customWidth="1"/>
    <col min="57" max="57" width="14.6640625" customWidth="1"/>
  </cols>
  <sheetData>
    <row r="1" spans="1:57" ht="21">
      <c r="A1" s="1" t="s">
        <v>0</v>
      </c>
      <c r="B1" s="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S1" s="5" t="s">
        <v>15</v>
      </c>
      <c r="U1" s="5" t="s">
        <v>239</v>
      </c>
      <c r="V1" t="s">
        <v>240</v>
      </c>
      <c r="W1" s="5" t="s">
        <v>241</v>
      </c>
      <c r="Y1" s="5" t="s">
        <v>242</v>
      </c>
      <c r="Z1" s="2" t="s">
        <v>336</v>
      </c>
      <c r="AA1" s="2" t="s">
        <v>337</v>
      </c>
      <c r="AB1" s="2" t="s">
        <v>338</v>
      </c>
      <c r="AF1" s="1" t="s">
        <v>0</v>
      </c>
      <c r="AG1" s="1" t="s">
        <v>1</v>
      </c>
      <c r="AH1" t="s">
        <v>2</v>
      </c>
      <c r="AI1" t="s">
        <v>3</v>
      </c>
      <c r="AJ1" s="3" t="s">
        <v>4</v>
      </c>
      <c r="AK1" t="s">
        <v>6</v>
      </c>
      <c r="AO1" s="41">
        <v>1</v>
      </c>
      <c r="AP1" s="41">
        <v>2</v>
      </c>
      <c r="AQ1" s="41">
        <v>3</v>
      </c>
      <c r="AR1" s="41">
        <v>4</v>
      </c>
      <c r="AS1" s="41">
        <v>5</v>
      </c>
      <c r="AT1" s="41">
        <v>6</v>
      </c>
      <c r="AU1" s="41">
        <v>7</v>
      </c>
      <c r="AV1" s="41">
        <v>8</v>
      </c>
      <c r="AW1" s="41">
        <v>9</v>
      </c>
      <c r="AX1" s="41">
        <v>10</v>
      </c>
      <c r="AY1" s="41">
        <v>11</v>
      </c>
      <c r="AZ1" s="41">
        <v>12</v>
      </c>
      <c r="BB1" s="44" t="s">
        <v>369</v>
      </c>
      <c r="BC1" s="44" t="s">
        <v>375</v>
      </c>
      <c r="BD1" s="44" t="s">
        <v>374</v>
      </c>
      <c r="BE1" s="44" t="s">
        <v>376</v>
      </c>
    </row>
    <row r="2" spans="1:57" ht="21">
      <c r="A2" s="1">
        <v>20150715</v>
      </c>
      <c r="B2" s="1">
        <v>6</v>
      </c>
      <c r="C2" s="2">
        <f>D2-$S$17</f>
        <v>2.3299000000000007</v>
      </c>
      <c r="D2">
        <f t="shared" ref="D2:D65" si="0">0.17*($H$2/12)*E2</f>
        <v>2.6299000000000006</v>
      </c>
      <c r="E2" s="3">
        <v>11.9</v>
      </c>
      <c r="F2" s="2">
        <f>C2</f>
        <v>2.3299000000000007</v>
      </c>
      <c r="G2">
        <f t="shared" ref="G2:G40" si="1">F2/B2</f>
        <v>0.38831666666666681</v>
      </c>
      <c r="H2" s="2">
        <f>15.6</f>
        <v>15.6</v>
      </c>
      <c r="I2">
        <v>7</v>
      </c>
      <c r="K2" s="6" t="s">
        <v>16</v>
      </c>
      <c r="L2" s="6" t="s">
        <v>17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S2" s="6" t="s">
        <v>22</v>
      </c>
      <c r="AE2" s="26"/>
      <c r="AF2" s="1">
        <v>20150715</v>
      </c>
      <c r="AG2" s="1">
        <v>6</v>
      </c>
      <c r="AH2" s="2">
        <f>AI2-$S$17</f>
        <v>2.3299000000000007</v>
      </c>
      <c r="AI2">
        <f t="shared" ref="AI2:AI5" si="2">0.17*($H$2/12)*AJ2</f>
        <v>2.6299000000000006</v>
      </c>
      <c r="AJ2" s="3">
        <v>11.9</v>
      </c>
      <c r="AK2">
        <f t="shared" ref="AK2:AK9" si="3">AH2/AG2</f>
        <v>0.38831666666666681</v>
      </c>
      <c r="AM2" s="26"/>
      <c r="AN2" s="20"/>
      <c r="AO2" s="42">
        <v>8.8000000000000007</v>
      </c>
      <c r="AP2" s="43">
        <v>10.199999999999999</v>
      </c>
      <c r="AQ2" s="42">
        <v>11.8</v>
      </c>
      <c r="AR2" s="43">
        <v>13.6</v>
      </c>
      <c r="AS2" s="42">
        <v>15.2</v>
      </c>
      <c r="AT2" s="43">
        <v>16</v>
      </c>
      <c r="AU2" s="42">
        <v>15.6</v>
      </c>
      <c r="AV2" s="43">
        <v>14.3</v>
      </c>
      <c r="AW2" s="42">
        <v>12.6</v>
      </c>
      <c r="AX2" s="43">
        <v>10.9</v>
      </c>
      <c r="AY2" s="42">
        <v>9.3000000000000007</v>
      </c>
      <c r="AZ2" s="43">
        <v>8.3000000000000007</v>
      </c>
      <c r="BB2" s="44" t="s">
        <v>370</v>
      </c>
      <c r="BC2" s="44">
        <v>80</v>
      </c>
      <c r="BD2" s="44">
        <v>60</v>
      </c>
      <c r="BE2" s="44">
        <v>40</v>
      </c>
    </row>
    <row r="3" spans="1:57" ht="20">
      <c r="A3" s="1">
        <v>20150715</v>
      </c>
      <c r="B3" s="1">
        <v>7</v>
      </c>
      <c r="C3" s="2">
        <f t="shared" ref="C3:C66" si="4">D3-$S$17</f>
        <v>2.3299000000000007</v>
      </c>
      <c r="D3">
        <f t="shared" si="0"/>
        <v>2.6299000000000006</v>
      </c>
      <c r="E3" s="3">
        <v>11.9</v>
      </c>
      <c r="F3">
        <f t="shared" ref="F3:F40" si="5">C3</f>
        <v>2.3299000000000007</v>
      </c>
      <c r="G3">
        <f t="shared" si="1"/>
        <v>0.33284285714285727</v>
      </c>
      <c r="H3">
        <v>16</v>
      </c>
      <c r="I3">
        <v>6</v>
      </c>
      <c r="K3" s="7" t="s">
        <v>243</v>
      </c>
      <c r="L3" s="8" t="s">
        <v>244</v>
      </c>
      <c r="M3" s="8" t="s">
        <v>245</v>
      </c>
      <c r="N3" s="8">
        <v>68</v>
      </c>
      <c r="O3" s="8" t="s">
        <v>246</v>
      </c>
      <c r="P3" s="8" t="s">
        <v>247</v>
      </c>
      <c r="Q3" s="8" t="s">
        <v>248</v>
      </c>
      <c r="S3" s="9">
        <v>0.4</v>
      </c>
      <c r="U3" s="23">
        <v>-114.38</v>
      </c>
      <c r="V3" s="1">
        <v>62.45</v>
      </c>
      <c r="W3" s="1" t="s">
        <v>238</v>
      </c>
      <c r="X3" s="1"/>
      <c r="Y3" s="24" t="s">
        <v>243</v>
      </c>
      <c r="Z3" s="20">
        <v>24</v>
      </c>
      <c r="AA3" s="20">
        <v>15</v>
      </c>
      <c r="AB3" s="20">
        <v>19.5</v>
      </c>
      <c r="AC3" s="20"/>
      <c r="AE3" s="26"/>
      <c r="AF3" s="1">
        <v>20150712</v>
      </c>
      <c r="AG3" s="1">
        <v>2</v>
      </c>
      <c r="AH3" s="2">
        <f t="shared" ref="AH3:AH9" si="6">AI3-$S$17</f>
        <v>0.67240000000000033</v>
      </c>
      <c r="AI3">
        <f t="shared" si="2"/>
        <v>0.97240000000000026</v>
      </c>
      <c r="AJ3" s="3">
        <v>4.4000000000000004</v>
      </c>
      <c r="AK3">
        <f t="shared" si="3"/>
        <v>0.33620000000000017</v>
      </c>
      <c r="AM3" s="26"/>
      <c r="AN3" s="20"/>
      <c r="AO3" s="26"/>
      <c r="AP3" s="20"/>
      <c r="AQ3" s="26"/>
      <c r="AR3" s="20"/>
      <c r="BB3" s="44" t="s">
        <v>371</v>
      </c>
      <c r="BC3" s="44">
        <v>120</v>
      </c>
      <c r="BD3" s="44">
        <v>90</v>
      </c>
      <c r="BE3" s="44">
        <v>60</v>
      </c>
    </row>
    <row r="4" spans="1:57" ht="20">
      <c r="A4" s="1">
        <v>20150715</v>
      </c>
      <c r="B4" s="1">
        <v>5</v>
      </c>
      <c r="C4" s="2">
        <f t="shared" si="4"/>
        <v>2.3299000000000007</v>
      </c>
      <c r="D4">
        <f t="shared" si="0"/>
        <v>2.6299000000000006</v>
      </c>
      <c r="E4" s="3">
        <v>11.9</v>
      </c>
      <c r="F4">
        <f t="shared" si="5"/>
        <v>2.3299000000000007</v>
      </c>
      <c r="G4">
        <f t="shared" si="1"/>
        <v>0.46598000000000017</v>
      </c>
      <c r="K4" s="7" t="s">
        <v>249</v>
      </c>
      <c r="L4" s="8" t="s">
        <v>250</v>
      </c>
      <c r="M4" s="8" t="s">
        <v>251</v>
      </c>
      <c r="N4" s="8">
        <v>62</v>
      </c>
      <c r="O4" s="8" t="s">
        <v>252</v>
      </c>
      <c r="P4" s="8" t="s">
        <v>253</v>
      </c>
      <c r="Q4" s="8" t="s">
        <v>254</v>
      </c>
      <c r="S4" s="9">
        <v>3</v>
      </c>
      <c r="U4" s="23">
        <v>-114.38</v>
      </c>
      <c r="V4" s="1">
        <v>62.45</v>
      </c>
      <c r="W4" s="1" t="s">
        <v>238</v>
      </c>
      <c r="X4" s="1"/>
      <c r="Y4" s="24" t="s">
        <v>249</v>
      </c>
      <c r="Z4" s="20">
        <v>26</v>
      </c>
      <c r="AA4" s="20">
        <v>14</v>
      </c>
      <c r="AB4" s="20">
        <v>20</v>
      </c>
      <c r="AC4" s="20"/>
      <c r="AE4" s="26"/>
      <c r="AF4" s="1">
        <v>20150714</v>
      </c>
      <c r="AG4" s="1">
        <v>4</v>
      </c>
      <c r="AH4" s="2">
        <f t="shared" si="6"/>
        <v>0.93759999999999999</v>
      </c>
      <c r="AI4">
        <f t="shared" si="2"/>
        <v>1.2376</v>
      </c>
      <c r="AJ4" s="3">
        <v>5.6</v>
      </c>
      <c r="AK4">
        <f t="shared" si="3"/>
        <v>0.2344</v>
      </c>
      <c r="AM4" s="26"/>
      <c r="AN4" s="20"/>
      <c r="AO4" s="26"/>
      <c r="AP4" s="20"/>
      <c r="AQ4" s="26"/>
      <c r="AR4" s="20"/>
      <c r="BB4" s="44" t="s">
        <v>372</v>
      </c>
      <c r="BC4" s="44">
        <v>170</v>
      </c>
      <c r="BD4" s="44">
        <v>130</v>
      </c>
      <c r="BE4" s="44">
        <v>90</v>
      </c>
    </row>
    <row r="5" spans="1:57" ht="20">
      <c r="A5" s="1">
        <v>20150715</v>
      </c>
      <c r="B5" s="1">
        <v>3</v>
      </c>
      <c r="C5" s="2">
        <f t="shared" si="4"/>
        <v>2.3299000000000007</v>
      </c>
      <c r="D5">
        <f t="shared" si="0"/>
        <v>2.6299000000000006</v>
      </c>
      <c r="E5" s="3">
        <v>11.9</v>
      </c>
      <c r="F5">
        <f t="shared" si="5"/>
        <v>2.3299000000000007</v>
      </c>
      <c r="G5">
        <f t="shared" si="1"/>
        <v>0.77663333333333362</v>
      </c>
      <c r="I5" s="2"/>
      <c r="K5" s="7" t="s">
        <v>255</v>
      </c>
      <c r="L5" s="8" t="s">
        <v>256</v>
      </c>
      <c r="M5" s="8" t="s">
        <v>251</v>
      </c>
      <c r="N5" s="8">
        <v>72</v>
      </c>
      <c r="O5" s="8" t="s">
        <v>257</v>
      </c>
      <c r="P5" s="8" t="s">
        <v>253</v>
      </c>
      <c r="Q5" s="8" t="s">
        <v>258</v>
      </c>
      <c r="S5" s="9">
        <v>3.1</v>
      </c>
      <c r="U5" s="23">
        <v>-114.38</v>
      </c>
      <c r="V5" s="1">
        <v>62.45</v>
      </c>
      <c r="W5" s="1" t="s">
        <v>238</v>
      </c>
      <c r="X5" s="1"/>
      <c r="Y5" s="24" t="s">
        <v>255</v>
      </c>
      <c r="Z5" s="20">
        <v>19.5</v>
      </c>
      <c r="AA5" s="20">
        <v>15</v>
      </c>
      <c r="AB5" s="20">
        <v>17.3</v>
      </c>
      <c r="AC5" s="20"/>
      <c r="AE5" s="26"/>
      <c r="AF5" s="1">
        <v>20150713</v>
      </c>
      <c r="AG5" s="1">
        <v>61</v>
      </c>
      <c r="AH5" s="2">
        <f t="shared" si="6"/>
        <v>1.2028000000000001</v>
      </c>
      <c r="AI5">
        <f t="shared" si="2"/>
        <v>1.5028000000000001</v>
      </c>
      <c r="AJ5" s="3">
        <v>6.8</v>
      </c>
      <c r="AK5">
        <f t="shared" si="3"/>
        <v>1.9718032786885248E-2</v>
      </c>
      <c r="AM5" s="26"/>
      <c r="AN5" s="20"/>
      <c r="AO5" s="26"/>
      <c r="AP5" s="20"/>
      <c r="AQ5" s="26"/>
      <c r="AR5" s="20"/>
      <c r="BB5" s="44" t="s">
        <v>373</v>
      </c>
      <c r="BC5" s="44">
        <v>200</v>
      </c>
      <c r="BD5" s="44">
        <v>160</v>
      </c>
      <c r="BE5" s="44">
        <v>100</v>
      </c>
    </row>
    <row r="6" spans="1:57" ht="20">
      <c r="A6" s="1">
        <v>20150715</v>
      </c>
      <c r="B6" s="1">
        <v>12</v>
      </c>
      <c r="C6" s="2">
        <f t="shared" si="4"/>
        <v>2.3299000000000007</v>
      </c>
      <c r="D6">
        <f t="shared" si="0"/>
        <v>2.6299000000000006</v>
      </c>
      <c r="E6" s="3">
        <v>11.9</v>
      </c>
      <c r="F6">
        <f t="shared" si="5"/>
        <v>2.3299000000000007</v>
      </c>
      <c r="G6">
        <f t="shared" si="1"/>
        <v>0.1941583333333334</v>
      </c>
      <c r="K6" s="7" t="s">
        <v>259</v>
      </c>
      <c r="L6" s="8" t="s">
        <v>244</v>
      </c>
      <c r="M6" s="8" t="s">
        <v>251</v>
      </c>
      <c r="N6" s="8">
        <v>64</v>
      </c>
      <c r="O6" s="8" t="s">
        <v>257</v>
      </c>
      <c r="P6" s="8" t="s">
        <v>260</v>
      </c>
      <c r="Q6" s="8" t="s">
        <v>261</v>
      </c>
      <c r="S6" s="9">
        <v>0.8</v>
      </c>
      <c r="U6" s="23">
        <v>-114.38</v>
      </c>
      <c r="V6" s="1">
        <v>62.45</v>
      </c>
      <c r="W6" s="1" t="s">
        <v>238</v>
      </c>
      <c r="X6" s="1"/>
      <c r="Y6" s="24" t="s">
        <v>259</v>
      </c>
      <c r="Z6" s="20">
        <v>22.5</v>
      </c>
      <c r="AA6" s="20">
        <v>13.5</v>
      </c>
      <c r="AB6" s="20">
        <v>18</v>
      </c>
      <c r="AC6" s="20"/>
      <c r="AE6" s="26"/>
      <c r="AF6" s="1">
        <v>20150605</v>
      </c>
      <c r="AG6" s="1">
        <v>20</v>
      </c>
      <c r="AH6" s="2">
        <f>AI6-$S$17</f>
        <v>2.0800000000000005</v>
      </c>
      <c r="AI6">
        <f>0.17*($H$3/12)*AJ6</f>
        <v>2.3800000000000003</v>
      </c>
      <c r="AJ6" s="3">
        <v>10.5</v>
      </c>
      <c r="AK6">
        <f t="shared" si="3"/>
        <v>0.10400000000000002</v>
      </c>
      <c r="AM6" s="26"/>
      <c r="AN6" s="20"/>
      <c r="AO6" s="26"/>
      <c r="AP6" s="20"/>
      <c r="AQ6" s="26"/>
      <c r="AR6" s="20"/>
    </row>
    <row r="7" spans="1:57" ht="20">
      <c r="A7" s="1">
        <v>20150715</v>
      </c>
      <c r="B7" s="1">
        <v>13</v>
      </c>
      <c r="C7" s="2">
        <f t="shared" si="4"/>
        <v>2.8382000000000005</v>
      </c>
      <c r="D7">
        <f t="shared" si="0"/>
        <v>3.1382000000000003</v>
      </c>
      <c r="E7" s="3">
        <v>14.2</v>
      </c>
      <c r="F7">
        <f t="shared" si="5"/>
        <v>2.8382000000000005</v>
      </c>
      <c r="G7">
        <f t="shared" si="1"/>
        <v>0.21832307692307695</v>
      </c>
      <c r="K7" s="7" t="s">
        <v>262</v>
      </c>
      <c r="L7" s="8" t="s">
        <v>263</v>
      </c>
      <c r="M7" s="8" t="s">
        <v>264</v>
      </c>
      <c r="N7" s="8">
        <v>73</v>
      </c>
      <c r="O7" s="8" t="s">
        <v>265</v>
      </c>
      <c r="P7" s="8" t="s">
        <v>266</v>
      </c>
      <c r="Q7" s="8" t="s">
        <v>248</v>
      </c>
      <c r="S7" s="9">
        <v>0.4</v>
      </c>
      <c r="U7" s="23">
        <v>-114.38</v>
      </c>
      <c r="V7" s="1">
        <v>62.45</v>
      </c>
      <c r="W7" s="1" t="s">
        <v>238</v>
      </c>
      <c r="X7" s="1"/>
      <c r="Y7" s="24" t="s">
        <v>262</v>
      </c>
      <c r="Z7" s="20">
        <v>21.5</v>
      </c>
      <c r="AA7" s="20">
        <v>10.5</v>
      </c>
      <c r="AB7" s="20">
        <v>16</v>
      </c>
      <c r="AC7" s="20"/>
      <c r="AE7" s="26"/>
      <c r="AF7" s="1">
        <v>20150604</v>
      </c>
      <c r="AG7" s="1">
        <v>112</v>
      </c>
      <c r="AH7" s="2">
        <f t="shared" si="6"/>
        <v>1.6266666666666667</v>
      </c>
      <c r="AI7">
        <f t="shared" ref="AI7:AI9" si="7">0.17*($H$3/12)*AJ7</f>
        <v>1.9266666666666667</v>
      </c>
      <c r="AJ7" s="3">
        <v>8.5</v>
      </c>
      <c r="AK7">
        <f t="shared" si="3"/>
        <v>1.4523809523809524E-2</v>
      </c>
      <c r="AM7" s="26"/>
      <c r="AN7" s="20"/>
      <c r="AO7" s="26"/>
      <c r="AP7" s="20"/>
      <c r="AQ7" s="26"/>
      <c r="AR7" s="20"/>
    </row>
    <row r="8" spans="1:57" ht="20">
      <c r="A8" s="1">
        <v>20150715</v>
      </c>
      <c r="B8" s="1">
        <v>22</v>
      </c>
      <c r="C8" s="2">
        <f t="shared" si="4"/>
        <v>2.8382000000000005</v>
      </c>
      <c r="D8">
        <f t="shared" si="0"/>
        <v>3.1382000000000003</v>
      </c>
      <c r="E8" s="3">
        <v>14.2</v>
      </c>
      <c r="F8">
        <f t="shared" si="5"/>
        <v>2.8382000000000005</v>
      </c>
      <c r="G8">
        <f t="shared" si="1"/>
        <v>0.12900909090909093</v>
      </c>
      <c r="K8" s="7" t="s">
        <v>267</v>
      </c>
      <c r="L8" s="8" t="s">
        <v>268</v>
      </c>
      <c r="M8" s="8" t="s">
        <v>269</v>
      </c>
      <c r="N8" s="8">
        <v>53</v>
      </c>
      <c r="O8" s="8" t="s">
        <v>270</v>
      </c>
      <c r="P8" s="8" t="s">
        <v>271</v>
      </c>
      <c r="Q8" s="8" t="s">
        <v>272</v>
      </c>
      <c r="S8" s="9">
        <v>0</v>
      </c>
      <c r="U8" s="23">
        <v>-114.38</v>
      </c>
      <c r="V8" s="1">
        <v>62.45</v>
      </c>
      <c r="W8" s="1" t="s">
        <v>238</v>
      </c>
      <c r="X8" s="1"/>
      <c r="Y8" s="24" t="s">
        <v>267</v>
      </c>
      <c r="Z8" s="20">
        <v>15</v>
      </c>
      <c r="AA8" s="20">
        <v>10.5</v>
      </c>
      <c r="AB8" s="20">
        <v>12.8</v>
      </c>
      <c r="AC8" s="20"/>
      <c r="AE8" s="26"/>
      <c r="AF8" s="1">
        <v>20150613</v>
      </c>
      <c r="AG8" s="1">
        <v>47</v>
      </c>
      <c r="AH8" s="2">
        <f t="shared" si="6"/>
        <v>3.961333333333334</v>
      </c>
      <c r="AI8">
        <f t="shared" si="7"/>
        <v>4.2613333333333339</v>
      </c>
      <c r="AJ8" s="3">
        <v>18.8</v>
      </c>
      <c r="AK8">
        <f t="shared" si="3"/>
        <v>8.4283687943262423E-2</v>
      </c>
      <c r="AM8" s="26"/>
      <c r="AN8" s="20"/>
      <c r="AO8" s="26"/>
      <c r="AP8" s="20"/>
      <c r="AQ8" s="26"/>
      <c r="AR8" s="20"/>
    </row>
    <row r="9" spans="1:57" ht="20">
      <c r="A9" s="1">
        <v>20150715</v>
      </c>
      <c r="B9" s="1">
        <v>22</v>
      </c>
      <c r="C9" s="2">
        <f t="shared" si="4"/>
        <v>2.8382000000000005</v>
      </c>
      <c r="D9">
        <f t="shared" si="0"/>
        <v>3.1382000000000003</v>
      </c>
      <c r="E9" s="3">
        <v>14.2</v>
      </c>
      <c r="F9">
        <f t="shared" si="5"/>
        <v>2.8382000000000005</v>
      </c>
      <c r="G9">
        <f t="shared" si="1"/>
        <v>0.12900909090909093</v>
      </c>
      <c r="K9" s="7" t="s">
        <v>273</v>
      </c>
      <c r="L9" s="8" t="s">
        <v>244</v>
      </c>
      <c r="M9" s="8" t="s">
        <v>274</v>
      </c>
      <c r="N9" s="8">
        <v>48</v>
      </c>
      <c r="O9" s="8" t="s">
        <v>275</v>
      </c>
      <c r="P9" s="8" t="s">
        <v>276</v>
      </c>
      <c r="Q9" s="8" t="s">
        <v>272</v>
      </c>
      <c r="S9" s="9">
        <v>0</v>
      </c>
      <c r="U9" s="23">
        <v>-114.38</v>
      </c>
      <c r="V9" s="1">
        <v>62.45</v>
      </c>
      <c r="W9" s="1" t="s">
        <v>238</v>
      </c>
      <c r="X9" s="1"/>
      <c r="Y9" s="24" t="s">
        <v>273</v>
      </c>
      <c r="Z9" s="20">
        <v>16</v>
      </c>
      <c r="AA9" s="20">
        <v>8</v>
      </c>
      <c r="AB9" s="20">
        <v>12</v>
      </c>
      <c r="AC9" s="20"/>
      <c r="AE9" s="26"/>
      <c r="AF9" s="1">
        <v>20150611</v>
      </c>
      <c r="AG9" s="1">
        <v>5</v>
      </c>
      <c r="AH9" s="2">
        <f t="shared" si="6"/>
        <v>1.2640000000000002</v>
      </c>
      <c r="AI9">
        <f t="shared" si="7"/>
        <v>1.5640000000000003</v>
      </c>
      <c r="AJ9" s="3">
        <v>6.9</v>
      </c>
      <c r="AK9">
        <f t="shared" si="3"/>
        <v>0.25280000000000002</v>
      </c>
      <c r="AM9" s="26"/>
      <c r="AN9" s="20"/>
      <c r="AO9" s="26"/>
      <c r="AP9" s="20"/>
      <c r="AQ9" s="26"/>
      <c r="AR9" s="20"/>
    </row>
    <row r="10" spans="1:57" ht="20">
      <c r="A10" s="1">
        <v>20150715</v>
      </c>
      <c r="B10" s="1">
        <v>20</v>
      </c>
      <c r="C10" s="2">
        <f t="shared" si="4"/>
        <v>2.8382000000000005</v>
      </c>
      <c r="D10">
        <f t="shared" si="0"/>
        <v>3.1382000000000003</v>
      </c>
      <c r="E10" s="3">
        <v>14.2</v>
      </c>
      <c r="F10">
        <f t="shared" si="5"/>
        <v>2.8382000000000005</v>
      </c>
      <c r="G10">
        <f t="shared" si="1"/>
        <v>0.14191000000000004</v>
      </c>
      <c r="K10" s="7" t="s">
        <v>277</v>
      </c>
      <c r="L10" s="8" t="s">
        <v>251</v>
      </c>
      <c r="M10" s="8" t="s">
        <v>278</v>
      </c>
      <c r="N10" s="8">
        <v>59</v>
      </c>
      <c r="O10" s="8" t="s">
        <v>279</v>
      </c>
      <c r="P10" s="8" t="s">
        <v>280</v>
      </c>
      <c r="Q10" s="8" t="s">
        <v>281</v>
      </c>
      <c r="S10" s="9">
        <v>1.1000000000000001</v>
      </c>
      <c r="U10" s="23">
        <v>-114.38</v>
      </c>
      <c r="V10" s="1">
        <v>62.45</v>
      </c>
      <c r="W10" s="1" t="s">
        <v>238</v>
      </c>
      <c r="X10" s="1"/>
      <c r="Y10" s="24" t="s">
        <v>277</v>
      </c>
      <c r="Z10" s="20">
        <v>16.5</v>
      </c>
      <c r="AA10" s="20">
        <v>11</v>
      </c>
      <c r="AB10" s="20">
        <v>13.8</v>
      </c>
      <c r="AC10" s="20"/>
      <c r="AE10" s="26"/>
      <c r="AG10" s="1"/>
      <c r="AJ10" s="3"/>
      <c r="AK10"/>
      <c r="AM10" s="26"/>
      <c r="AN10" s="20"/>
      <c r="AO10" s="26"/>
      <c r="AP10" s="20"/>
      <c r="AQ10" s="26"/>
      <c r="AR10" s="20"/>
    </row>
    <row r="11" spans="1:57" ht="20">
      <c r="A11" s="1">
        <v>20150715</v>
      </c>
      <c r="B11" s="1">
        <v>21</v>
      </c>
      <c r="C11" s="2">
        <f t="shared" si="4"/>
        <v>2.8382000000000005</v>
      </c>
      <c r="D11">
        <f t="shared" si="0"/>
        <v>3.1382000000000003</v>
      </c>
      <c r="E11" s="3">
        <v>14.2</v>
      </c>
      <c r="F11">
        <f t="shared" si="5"/>
        <v>2.8382000000000005</v>
      </c>
      <c r="G11">
        <f t="shared" si="1"/>
        <v>0.13515238095238097</v>
      </c>
      <c r="K11" s="7" t="s">
        <v>282</v>
      </c>
      <c r="L11" s="8" t="s">
        <v>245</v>
      </c>
      <c r="M11" s="8" t="s">
        <v>269</v>
      </c>
      <c r="N11" s="8">
        <v>61</v>
      </c>
      <c r="O11" s="8" t="s">
        <v>283</v>
      </c>
      <c r="P11" s="8" t="s">
        <v>284</v>
      </c>
      <c r="Q11" s="8" t="s">
        <v>272</v>
      </c>
      <c r="S11" s="9">
        <v>0</v>
      </c>
      <c r="U11" s="23">
        <v>-114.38</v>
      </c>
      <c r="V11" s="1">
        <v>62.45</v>
      </c>
      <c r="W11" s="1" t="s">
        <v>238</v>
      </c>
      <c r="X11" s="1"/>
      <c r="Y11" s="24" t="s">
        <v>282</v>
      </c>
      <c r="Z11" s="20">
        <v>18</v>
      </c>
      <c r="AA11" s="20">
        <v>6.5</v>
      </c>
      <c r="AB11" s="20">
        <v>12.3</v>
      </c>
      <c r="AC11" s="20"/>
      <c r="AF11" s="1">
        <v>20150715</v>
      </c>
      <c r="AG11">
        <f>AVERAGE(B2:B121)</f>
        <v>19.033333333333335</v>
      </c>
      <c r="AH11">
        <f>AVERAGE(C2:C121)</f>
        <v>2.1420500000000007</v>
      </c>
      <c r="AI11">
        <f>AVERAGE(D2:D121)</f>
        <v>2.4420499999999965</v>
      </c>
      <c r="AJ11">
        <f>AVERAGE(E2:E121)</f>
        <v>11.050000000000017</v>
      </c>
      <c r="AK11">
        <f t="shared" ref="AK11:AK18" si="8">AH11/AG11</f>
        <v>0.11254203152364275</v>
      </c>
      <c r="AM11" s="26"/>
      <c r="AN11" s="28" t="s">
        <v>339</v>
      </c>
      <c r="AO11" s="26"/>
      <c r="AP11" s="20"/>
      <c r="AQ11" s="26"/>
      <c r="AR11" s="20"/>
    </row>
    <row r="12" spans="1:57" ht="20">
      <c r="A12" s="1">
        <v>20150715</v>
      </c>
      <c r="B12" s="1">
        <v>9</v>
      </c>
      <c r="C12" s="2">
        <f t="shared" si="4"/>
        <v>2.3299000000000007</v>
      </c>
      <c r="D12">
        <f t="shared" si="0"/>
        <v>2.6299000000000006</v>
      </c>
      <c r="E12" s="3">
        <v>11.9</v>
      </c>
      <c r="F12">
        <f t="shared" si="5"/>
        <v>2.3299000000000007</v>
      </c>
      <c r="G12">
        <f t="shared" si="1"/>
        <v>0.25887777777777787</v>
      </c>
      <c r="K12" s="7" t="s">
        <v>285</v>
      </c>
      <c r="L12" s="8" t="s">
        <v>286</v>
      </c>
      <c r="M12" s="8" t="s">
        <v>278</v>
      </c>
      <c r="N12" s="8">
        <v>64</v>
      </c>
      <c r="O12" s="8" t="s">
        <v>287</v>
      </c>
      <c r="P12" s="8" t="s">
        <v>276</v>
      </c>
      <c r="Q12" s="8" t="s">
        <v>272</v>
      </c>
      <c r="S12" s="9">
        <v>0</v>
      </c>
      <c r="U12" s="23">
        <v>-114.38</v>
      </c>
      <c r="V12" s="1">
        <v>62.45</v>
      </c>
      <c r="W12" s="1" t="s">
        <v>238</v>
      </c>
      <c r="X12" s="1"/>
      <c r="Y12" s="24" t="s">
        <v>285</v>
      </c>
      <c r="Z12" s="20">
        <v>19</v>
      </c>
      <c r="AA12" s="20">
        <v>9</v>
      </c>
      <c r="AB12" s="20">
        <v>14</v>
      </c>
      <c r="AC12" s="20"/>
      <c r="AE12" s="26"/>
      <c r="AF12" s="1">
        <v>20150712</v>
      </c>
      <c r="AG12">
        <f>AVERAGE(B122:B271)</f>
        <v>15.68</v>
      </c>
      <c r="AH12">
        <f>AVERAGE(C122:C271)</f>
        <v>0.55861000000000038</v>
      </c>
      <c r="AI12">
        <f>AVERAGE(D122:D271)</f>
        <v>1.8586099999999992</v>
      </c>
      <c r="AJ12">
        <f>AVERAGE(E122:E271)</f>
        <v>8.4100000000000037</v>
      </c>
      <c r="AK12">
        <f t="shared" si="8"/>
        <v>3.5625637755102066E-2</v>
      </c>
      <c r="AM12" s="26"/>
      <c r="AN12" s="20"/>
      <c r="AO12" s="26"/>
      <c r="AP12" s="20"/>
      <c r="AQ12" s="26"/>
      <c r="AR12" s="20"/>
    </row>
    <row r="13" spans="1:57" ht="20">
      <c r="A13" s="1">
        <v>20150715</v>
      </c>
      <c r="B13" s="1">
        <v>6</v>
      </c>
      <c r="C13" s="2">
        <f t="shared" si="4"/>
        <v>2.3299000000000007</v>
      </c>
      <c r="D13">
        <f t="shared" si="0"/>
        <v>2.6299000000000006</v>
      </c>
      <c r="E13" s="3">
        <v>11.9</v>
      </c>
      <c r="F13">
        <f t="shared" si="5"/>
        <v>2.3299000000000007</v>
      </c>
      <c r="G13">
        <f t="shared" si="1"/>
        <v>0.38831666666666681</v>
      </c>
      <c r="K13" s="7" t="s">
        <v>288</v>
      </c>
      <c r="L13" s="8" t="s">
        <v>268</v>
      </c>
      <c r="M13" s="8" t="s">
        <v>289</v>
      </c>
      <c r="N13" s="8">
        <v>63</v>
      </c>
      <c r="O13" s="8" t="s">
        <v>257</v>
      </c>
      <c r="P13" s="8" t="s">
        <v>276</v>
      </c>
      <c r="Q13" s="8" t="s">
        <v>272</v>
      </c>
      <c r="S13" s="9">
        <v>0</v>
      </c>
      <c r="U13" s="23">
        <v>-114.38</v>
      </c>
      <c r="V13" s="1">
        <v>62.45</v>
      </c>
      <c r="W13" s="1" t="s">
        <v>238</v>
      </c>
      <c r="X13" s="1"/>
      <c r="Y13" s="24" t="s">
        <v>288</v>
      </c>
      <c r="Z13" s="20">
        <v>23.5</v>
      </c>
      <c r="AA13" s="20">
        <v>7</v>
      </c>
      <c r="AB13" s="20">
        <v>15.3</v>
      </c>
      <c r="AC13" s="20"/>
      <c r="AE13" s="26"/>
      <c r="AF13" s="1">
        <v>20150714</v>
      </c>
      <c r="AG13">
        <f>AVERAGE(B272:B361)</f>
        <v>32.966666666666669</v>
      </c>
      <c r="AH13">
        <f>AVERAGE(C272:C361)</f>
        <v>-1.70825</v>
      </c>
      <c r="AI13">
        <f>AVERAGE(D272:D361)</f>
        <v>1.4917500000000001</v>
      </c>
      <c r="AJ13">
        <f>AVERAGE(E272:E361)</f>
        <v>6.7499999999999991</v>
      </c>
      <c r="AK13">
        <f t="shared" si="8"/>
        <v>-5.1817492416582407E-2</v>
      </c>
      <c r="AM13" s="26"/>
      <c r="AN13" s="20"/>
      <c r="AO13" s="20"/>
      <c r="AP13" s="20"/>
      <c r="AQ13" s="26"/>
      <c r="AR13" s="20"/>
    </row>
    <row r="14" spans="1:57" ht="20">
      <c r="A14" s="1">
        <v>20150715</v>
      </c>
      <c r="B14" s="1">
        <v>7</v>
      </c>
      <c r="C14" s="2">
        <f t="shared" si="4"/>
        <v>2.3299000000000007</v>
      </c>
      <c r="D14">
        <f t="shared" si="0"/>
        <v>2.6299000000000006</v>
      </c>
      <c r="E14" s="3">
        <v>11.9</v>
      </c>
      <c r="F14">
        <f t="shared" si="5"/>
        <v>2.3299000000000007</v>
      </c>
      <c r="G14">
        <f t="shared" si="1"/>
        <v>0.33284285714285727</v>
      </c>
      <c r="K14" s="7" t="s">
        <v>290</v>
      </c>
      <c r="L14" s="8" t="s">
        <v>250</v>
      </c>
      <c r="M14" s="8" t="s">
        <v>286</v>
      </c>
      <c r="N14" s="8">
        <v>68</v>
      </c>
      <c r="O14" s="8" t="s">
        <v>265</v>
      </c>
      <c r="P14" s="8" t="s">
        <v>280</v>
      </c>
      <c r="Q14" s="8" t="s">
        <v>291</v>
      </c>
      <c r="S14" s="9">
        <v>1.3</v>
      </c>
      <c r="U14" s="23">
        <v>-114.38</v>
      </c>
      <c r="V14" s="1">
        <v>62.45</v>
      </c>
      <c r="W14" s="1" t="s">
        <v>238</v>
      </c>
      <c r="X14" s="1"/>
      <c r="Y14" s="24" t="s">
        <v>290</v>
      </c>
      <c r="Z14" s="20">
        <v>21.5</v>
      </c>
      <c r="AA14" s="20">
        <v>12.5</v>
      </c>
      <c r="AB14" s="20">
        <v>17</v>
      </c>
      <c r="AC14" s="20"/>
      <c r="AE14" s="26"/>
      <c r="AF14" s="1">
        <v>20150713</v>
      </c>
      <c r="AG14">
        <f>AVERAGE(B362:B496)</f>
        <v>25.31111111111111</v>
      </c>
      <c r="AH14">
        <f>AVERAGE(C362:C496)</f>
        <v>1.606611111111113</v>
      </c>
      <c r="AI14">
        <f>AVERAGE(D362:D496)</f>
        <v>1.7066111111111102</v>
      </c>
      <c r="AJ14">
        <f>AVERAGE(E362:E496)</f>
        <v>7.7222222222222223</v>
      </c>
      <c r="AK14">
        <f t="shared" si="8"/>
        <v>6.3474539069359168E-2</v>
      </c>
      <c r="AM14" s="26"/>
      <c r="AN14" s="20"/>
      <c r="AO14" s="26"/>
      <c r="AP14" s="20"/>
      <c r="AQ14" s="26"/>
      <c r="AR14" s="20"/>
    </row>
    <row r="15" spans="1:57" ht="20">
      <c r="A15" s="1">
        <v>20150715</v>
      </c>
      <c r="B15" s="1">
        <v>15</v>
      </c>
      <c r="C15" s="2">
        <f t="shared" si="4"/>
        <v>2.3299000000000007</v>
      </c>
      <c r="D15">
        <f t="shared" si="0"/>
        <v>2.6299000000000006</v>
      </c>
      <c r="E15" s="3">
        <v>11.9</v>
      </c>
      <c r="F15">
        <f t="shared" si="5"/>
        <v>2.3299000000000007</v>
      </c>
      <c r="G15">
        <f t="shared" si="1"/>
        <v>0.15532666666666672</v>
      </c>
      <c r="K15" s="7" t="s">
        <v>292</v>
      </c>
      <c r="L15" s="8" t="s">
        <v>256</v>
      </c>
      <c r="M15" s="8" t="s">
        <v>286</v>
      </c>
      <c r="N15" s="8">
        <v>74</v>
      </c>
      <c r="O15" s="8" t="s">
        <v>252</v>
      </c>
      <c r="P15" s="8" t="s">
        <v>280</v>
      </c>
      <c r="Q15" s="8" t="s">
        <v>293</v>
      </c>
      <c r="S15" s="9">
        <v>0.1</v>
      </c>
      <c r="U15" s="23">
        <v>-114.38</v>
      </c>
      <c r="V15" s="1">
        <v>62.45</v>
      </c>
      <c r="W15" s="1" t="s">
        <v>238</v>
      </c>
      <c r="X15" s="1"/>
      <c r="Y15" s="24" t="s">
        <v>292</v>
      </c>
      <c r="Z15" s="20">
        <v>15.5</v>
      </c>
      <c r="AA15" s="20">
        <v>14.5</v>
      </c>
      <c r="AB15" s="20">
        <v>15</v>
      </c>
      <c r="AC15" s="20"/>
      <c r="AE15" s="26"/>
      <c r="AF15" s="1">
        <v>20150605</v>
      </c>
      <c r="AG15">
        <f>AVERAGE(B497:B676)</f>
        <v>28.089111111111112</v>
      </c>
      <c r="AH15">
        <f>AVERAGE(C497:C676)</f>
        <v>1.8775555555555519</v>
      </c>
      <c r="AI15">
        <f>AVERAGE(D497:D676)</f>
        <v>1.8775555555555519</v>
      </c>
      <c r="AJ15">
        <f>AVERAGE(E497:E676)</f>
        <v>8.2833333333333616</v>
      </c>
      <c r="AK15">
        <f t="shared" si="8"/>
        <v>6.6842825610556739E-2</v>
      </c>
      <c r="AM15" s="26"/>
      <c r="AN15" s="20"/>
      <c r="AO15" s="26"/>
      <c r="AP15" s="20"/>
      <c r="AQ15" s="26"/>
      <c r="AR15" s="20"/>
    </row>
    <row r="16" spans="1:57" ht="20">
      <c r="A16" s="1">
        <v>20150715</v>
      </c>
      <c r="B16" s="1">
        <v>6</v>
      </c>
      <c r="C16" s="2">
        <f t="shared" si="4"/>
        <v>2.3299000000000007</v>
      </c>
      <c r="D16">
        <f t="shared" si="0"/>
        <v>2.6299000000000006</v>
      </c>
      <c r="E16" s="3">
        <v>11.9</v>
      </c>
      <c r="F16">
        <f t="shared" si="5"/>
        <v>2.3299000000000007</v>
      </c>
      <c r="G16">
        <f t="shared" si="1"/>
        <v>0.38831666666666681</v>
      </c>
      <c r="K16" s="7" t="s">
        <v>294</v>
      </c>
      <c r="L16" s="8" t="s">
        <v>250</v>
      </c>
      <c r="M16" s="8" t="s">
        <v>295</v>
      </c>
      <c r="N16" s="8">
        <v>73</v>
      </c>
      <c r="O16" s="8" t="s">
        <v>296</v>
      </c>
      <c r="P16" s="8" t="s">
        <v>280</v>
      </c>
      <c r="Q16" s="8" t="s">
        <v>258</v>
      </c>
      <c r="S16" s="9">
        <v>3.2</v>
      </c>
      <c r="U16" s="23">
        <v>-114.38</v>
      </c>
      <c r="V16" s="1">
        <v>62.45</v>
      </c>
      <c r="W16" s="1" t="s">
        <v>238</v>
      </c>
      <c r="X16" s="1"/>
      <c r="Y16" s="24" t="s">
        <v>294</v>
      </c>
      <c r="Z16" s="20">
        <v>18</v>
      </c>
      <c r="AA16" s="20">
        <v>12</v>
      </c>
      <c r="AB16" s="20">
        <v>15</v>
      </c>
      <c r="AC16" s="20"/>
      <c r="AE16" s="26"/>
      <c r="AF16" s="1">
        <v>20150604</v>
      </c>
      <c r="AG16">
        <f>AVERAGE(B677:B766)</f>
        <v>88.233333333333334</v>
      </c>
      <c r="AH16">
        <f>AVERAGE(C677:C766)</f>
        <v>1.762444444444446</v>
      </c>
      <c r="AI16">
        <f>AVERAGE(D677:D766)</f>
        <v>1.8624444444444461</v>
      </c>
      <c r="AJ16">
        <f>AVERAGE(E677:E766)</f>
        <v>8.2166666666666561</v>
      </c>
      <c r="AK16">
        <f t="shared" si="8"/>
        <v>1.9974814255131614E-2</v>
      </c>
      <c r="AM16" s="26"/>
      <c r="AN16" s="20"/>
      <c r="AO16" s="26"/>
      <c r="AP16" s="20"/>
      <c r="AQ16" s="26"/>
      <c r="AR16" s="20"/>
    </row>
    <row r="17" spans="1:44" ht="20">
      <c r="A17" s="1">
        <v>20150715</v>
      </c>
      <c r="B17" s="1">
        <v>22</v>
      </c>
      <c r="C17" s="2">
        <f t="shared" si="4"/>
        <v>2.8382000000000005</v>
      </c>
      <c r="D17">
        <f t="shared" si="0"/>
        <v>3.1382000000000003</v>
      </c>
      <c r="E17" s="3">
        <v>14.2</v>
      </c>
      <c r="F17">
        <f t="shared" si="5"/>
        <v>2.8382000000000005</v>
      </c>
      <c r="G17">
        <f t="shared" si="1"/>
        <v>0.12900909090909093</v>
      </c>
      <c r="K17" s="7" t="s">
        <v>297</v>
      </c>
      <c r="L17" s="8" t="s">
        <v>298</v>
      </c>
      <c r="M17" s="8" t="s">
        <v>286</v>
      </c>
      <c r="N17" s="8">
        <v>71</v>
      </c>
      <c r="O17" s="8" t="s">
        <v>299</v>
      </c>
      <c r="P17" s="8" t="s">
        <v>280</v>
      </c>
      <c r="Q17" s="8" t="s">
        <v>300</v>
      </c>
      <c r="S17" s="9">
        <v>0.3</v>
      </c>
      <c r="U17" s="23">
        <v>-114.38</v>
      </c>
      <c r="V17" s="1">
        <v>62.45</v>
      </c>
      <c r="W17" s="1" t="s">
        <v>238</v>
      </c>
      <c r="X17" s="1"/>
      <c r="Y17" s="24" t="s">
        <v>297</v>
      </c>
      <c r="Z17" s="20">
        <v>19</v>
      </c>
      <c r="AA17" s="20">
        <v>13</v>
      </c>
      <c r="AB17" s="20">
        <v>16</v>
      </c>
      <c r="AC17" s="20"/>
      <c r="AE17" s="26"/>
      <c r="AF17" s="1">
        <v>20150613</v>
      </c>
      <c r="AG17">
        <f>AVERAGE(B767:B946)</f>
        <v>57.62222222222222</v>
      </c>
      <c r="AH17">
        <f>AVERAGE(C767:C946)</f>
        <v>2.4281111111111078</v>
      </c>
      <c r="AI17">
        <f>AVERAGE(D767:D946)</f>
        <v>3.2281111111111116</v>
      </c>
      <c r="AJ17">
        <f>AVERAGE(E767:E946)</f>
        <v>14.241666666666664</v>
      </c>
      <c r="AK17">
        <f t="shared" si="8"/>
        <v>4.2138449672194316E-2</v>
      </c>
      <c r="AM17" s="26"/>
      <c r="AN17" s="20"/>
      <c r="AO17" s="26"/>
      <c r="AP17" s="20"/>
      <c r="AQ17" s="26"/>
      <c r="AR17" s="20"/>
    </row>
    <row r="18" spans="1:44" ht="20">
      <c r="A18" s="1">
        <v>20150715</v>
      </c>
      <c r="B18" s="1">
        <v>29</v>
      </c>
      <c r="C18" s="2">
        <f t="shared" si="4"/>
        <v>2.8382000000000005</v>
      </c>
      <c r="D18">
        <f t="shared" si="0"/>
        <v>3.1382000000000003</v>
      </c>
      <c r="E18" s="3">
        <v>14.2</v>
      </c>
      <c r="F18">
        <f t="shared" si="5"/>
        <v>2.8382000000000005</v>
      </c>
      <c r="G18">
        <f t="shared" si="1"/>
        <v>9.7868965517241391E-2</v>
      </c>
      <c r="K18" s="7" t="s">
        <v>301</v>
      </c>
      <c r="L18" s="8" t="s">
        <v>298</v>
      </c>
      <c r="M18" s="8" t="s">
        <v>245</v>
      </c>
      <c r="N18" s="8">
        <v>67</v>
      </c>
      <c r="O18" s="8" t="s">
        <v>296</v>
      </c>
      <c r="P18" s="8" t="s">
        <v>276</v>
      </c>
      <c r="Q18" s="8" t="s">
        <v>302</v>
      </c>
      <c r="S18" s="9">
        <v>1.9</v>
      </c>
      <c r="U18" s="23">
        <v>-114.38</v>
      </c>
      <c r="V18" s="1">
        <v>62.45</v>
      </c>
      <c r="W18" s="1" t="s">
        <v>238</v>
      </c>
      <c r="X18" s="1"/>
      <c r="Y18" s="24" t="s">
        <v>301</v>
      </c>
      <c r="Z18" s="20">
        <v>23</v>
      </c>
      <c r="AA18" s="20">
        <v>11</v>
      </c>
      <c r="AB18" s="20">
        <v>17</v>
      </c>
      <c r="AC18" s="20"/>
      <c r="AE18" s="26"/>
      <c r="AF18" s="1">
        <v>20150611</v>
      </c>
      <c r="AG18">
        <f>AVERAGE(B947:B1396)</f>
        <v>28.044466666666668</v>
      </c>
      <c r="AH18">
        <f>AVERAGE(C947:C1396)</f>
        <v>1.0577333333333319</v>
      </c>
      <c r="AI18">
        <f>AVERAGE(D947:D1396)</f>
        <v>1.3577333333333363</v>
      </c>
      <c r="AJ18">
        <f>AVERAGE(E947:E1396)</f>
        <v>5.9900000000000215</v>
      </c>
      <c r="AK18">
        <f t="shared" si="8"/>
        <v>3.7716293410227038E-2</v>
      </c>
      <c r="AM18" s="26"/>
      <c r="AN18" s="20"/>
      <c r="AO18" s="26"/>
      <c r="AP18" s="20"/>
      <c r="AQ18" s="26"/>
      <c r="AR18" s="20"/>
    </row>
    <row r="19" spans="1:44" ht="20">
      <c r="A19" s="1">
        <v>20150715</v>
      </c>
      <c r="B19" s="1">
        <v>26</v>
      </c>
      <c r="C19" s="2">
        <f t="shared" si="4"/>
        <v>2.8382000000000005</v>
      </c>
      <c r="D19">
        <f t="shared" si="0"/>
        <v>3.1382000000000003</v>
      </c>
      <c r="E19" s="3">
        <v>14.2</v>
      </c>
      <c r="F19">
        <f t="shared" si="5"/>
        <v>2.8382000000000005</v>
      </c>
      <c r="G19">
        <f t="shared" si="1"/>
        <v>0.10916153846153848</v>
      </c>
      <c r="K19" s="7" t="s">
        <v>303</v>
      </c>
      <c r="L19" s="8" t="s">
        <v>250</v>
      </c>
      <c r="M19" s="8" t="s">
        <v>304</v>
      </c>
      <c r="N19" s="8">
        <v>57</v>
      </c>
      <c r="O19" s="8" t="s">
        <v>252</v>
      </c>
      <c r="P19" s="8" t="s">
        <v>276</v>
      </c>
      <c r="Q19" s="8" t="s">
        <v>272</v>
      </c>
      <c r="S19" s="9">
        <v>0</v>
      </c>
      <c r="U19" s="23">
        <v>-114.38</v>
      </c>
      <c r="V19" s="1">
        <v>62.45</v>
      </c>
      <c r="W19" s="1" t="s">
        <v>238</v>
      </c>
      <c r="X19" s="1"/>
      <c r="Y19" s="24" t="s">
        <v>303</v>
      </c>
      <c r="Z19" s="20">
        <v>21</v>
      </c>
      <c r="AA19" s="20">
        <v>14.5</v>
      </c>
      <c r="AB19" s="20">
        <v>17.8</v>
      </c>
      <c r="AC19" s="20"/>
      <c r="AE19" s="26"/>
      <c r="AM19" s="26"/>
      <c r="AN19" s="20"/>
      <c r="AO19" s="20"/>
      <c r="AP19" s="20"/>
      <c r="AQ19" s="26"/>
      <c r="AR19" s="20"/>
    </row>
    <row r="20" spans="1:44" ht="20">
      <c r="A20" s="1">
        <v>20150715</v>
      </c>
      <c r="B20" s="1">
        <v>22</v>
      </c>
      <c r="C20" s="2">
        <f t="shared" si="4"/>
        <v>2.8382000000000005</v>
      </c>
      <c r="D20">
        <f t="shared" si="0"/>
        <v>3.1382000000000003</v>
      </c>
      <c r="E20" s="3">
        <v>14.2</v>
      </c>
      <c r="F20">
        <f t="shared" si="5"/>
        <v>2.8382000000000005</v>
      </c>
      <c r="G20">
        <f t="shared" si="1"/>
        <v>0.12900909090909093</v>
      </c>
      <c r="K20" s="7" t="s">
        <v>305</v>
      </c>
      <c r="L20" s="8" t="s">
        <v>298</v>
      </c>
      <c r="M20" s="8" t="s">
        <v>245</v>
      </c>
      <c r="N20" s="8">
        <v>70</v>
      </c>
      <c r="O20" s="8" t="s">
        <v>306</v>
      </c>
      <c r="P20" s="8" t="s">
        <v>307</v>
      </c>
      <c r="Q20" s="8" t="s">
        <v>308</v>
      </c>
      <c r="S20" s="9">
        <v>0.7</v>
      </c>
      <c r="U20" s="23">
        <v>-114.38</v>
      </c>
      <c r="V20" s="1">
        <v>62.45</v>
      </c>
      <c r="W20" s="1" t="s">
        <v>238</v>
      </c>
      <c r="X20" s="1"/>
      <c r="Y20" s="24" t="s">
        <v>305</v>
      </c>
      <c r="Z20" s="20">
        <v>23</v>
      </c>
      <c r="AA20" s="20">
        <v>12</v>
      </c>
      <c r="AB20" s="20">
        <v>17.5</v>
      </c>
      <c r="AC20" s="20"/>
      <c r="AE20" s="26"/>
      <c r="AM20" s="26"/>
      <c r="AN20" s="20"/>
      <c r="AO20" s="26"/>
      <c r="AP20" s="20"/>
      <c r="AQ20" s="26"/>
      <c r="AR20" s="20"/>
    </row>
    <row r="21" spans="1:44" ht="20">
      <c r="A21" s="1">
        <v>20150715</v>
      </c>
      <c r="B21" s="1">
        <v>18</v>
      </c>
      <c r="C21" s="2">
        <f t="shared" si="4"/>
        <v>2.8382000000000005</v>
      </c>
      <c r="D21">
        <f t="shared" si="0"/>
        <v>3.1382000000000003</v>
      </c>
      <c r="E21" s="3">
        <v>14.2</v>
      </c>
      <c r="F21">
        <f t="shared" si="5"/>
        <v>2.8382000000000005</v>
      </c>
      <c r="G21">
        <f t="shared" si="1"/>
        <v>0.15767777777777781</v>
      </c>
      <c r="K21" s="7" t="s">
        <v>309</v>
      </c>
      <c r="L21" s="8" t="s">
        <v>298</v>
      </c>
      <c r="M21" s="8" t="s">
        <v>304</v>
      </c>
      <c r="N21" s="8">
        <v>57</v>
      </c>
      <c r="O21" s="8" t="s">
        <v>287</v>
      </c>
      <c r="P21" s="8" t="s">
        <v>310</v>
      </c>
      <c r="Q21" s="8" t="s">
        <v>308</v>
      </c>
      <c r="S21" s="9">
        <v>0.7</v>
      </c>
      <c r="U21" s="23">
        <v>-114.38</v>
      </c>
      <c r="V21" s="1">
        <v>62.45</v>
      </c>
      <c r="W21" s="1" t="s">
        <v>238</v>
      </c>
      <c r="X21" s="1"/>
      <c r="Y21" s="24" t="s">
        <v>309</v>
      </c>
      <c r="Z21" s="20">
        <v>19</v>
      </c>
      <c r="AA21" s="20">
        <v>12</v>
      </c>
      <c r="AB21" s="20">
        <v>15.5</v>
      </c>
      <c r="AC21" s="20"/>
      <c r="AE21" s="26"/>
      <c r="AM21" s="26"/>
      <c r="AN21" s="20"/>
      <c r="AO21" s="26"/>
      <c r="AP21" s="20"/>
      <c r="AQ21" s="26"/>
      <c r="AR21" s="20"/>
    </row>
    <row r="22" spans="1:44" ht="20">
      <c r="A22" s="1">
        <v>20150715</v>
      </c>
      <c r="B22" s="1">
        <v>27</v>
      </c>
      <c r="C22" s="2">
        <f t="shared" si="4"/>
        <v>2.3299000000000007</v>
      </c>
      <c r="D22">
        <f t="shared" si="0"/>
        <v>2.6299000000000006</v>
      </c>
      <c r="E22" s="3">
        <v>11.9</v>
      </c>
      <c r="F22">
        <f t="shared" si="5"/>
        <v>2.3299000000000007</v>
      </c>
      <c r="G22">
        <f t="shared" si="1"/>
        <v>8.6292592592592615E-2</v>
      </c>
      <c r="K22" s="7" t="s">
        <v>311</v>
      </c>
      <c r="L22" s="8" t="s">
        <v>298</v>
      </c>
      <c r="M22" s="8" t="s">
        <v>264</v>
      </c>
      <c r="N22" s="8">
        <v>62</v>
      </c>
      <c r="O22" s="8" t="s">
        <v>265</v>
      </c>
      <c r="P22" s="8" t="s">
        <v>312</v>
      </c>
      <c r="Q22" s="8" t="s">
        <v>313</v>
      </c>
      <c r="S22" s="9">
        <v>1.5</v>
      </c>
      <c r="U22" s="23">
        <v>-114.38</v>
      </c>
      <c r="V22" s="1">
        <v>62.45</v>
      </c>
      <c r="W22" s="1" t="s">
        <v>238</v>
      </c>
      <c r="X22" s="1"/>
      <c r="Y22" s="24" t="s">
        <v>311</v>
      </c>
      <c r="Z22" s="20">
        <v>18.5</v>
      </c>
      <c r="AA22" s="20">
        <v>11.5</v>
      </c>
      <c r="AB22" s="20">
        <v>15</v>
      </c>
      <c r="AC22" s="20"/>
      <c r="AE22" s="26"/>
      <c r="AM22" s="26"/>
      <c r="AN22" s="20"/>
      <c r="AO22" s="26"/>
      <c r="AP22" s="20"/>
      <c r="AQ22" s="26"/>
      <c r="AR22" s="20"/>
    </row>
    <row r="23" spans="1:44" ht="20">
      <c r="A23" s="1">
        <v>20150715</v>
      </c>
      <c r="B23" s="1">
        <v>26</v>
      </c>
      <c r="C23" s="2">
        <f t="shared" si="4"/>
        <v>2.3299000000000007</v>
      </c>
      <c r="D23">
        <f t="shared" si="0"/>
        <v>2.6299000000000006</v>
      </c>
      <c r="E23" s="3">
        <v>11.9</v>
      </c>
      <c r="F23">
        <f t="shared" si="5"/>
        <v>2.3299000000000007</v>
      </c>
      <c r="G23">
        <f t="shared" si="1"/>
        <v>8.9611538461538492E-2</v>
      </c>
      <c r="K23" s="7" t="s">
        <v>314</v>
      </c>
      <c r="L23" s="8" t="s">
        <v>263</v>
      </c>
      <c r="M23" s="8" t="s">
        <v>315</v>
      </c>
      <c r="N23" s="8">
        <v>65</v>
      </c>
      <c r="O23" s="8" t="s">
        <v>316</v>
      </c>
      <c r="P23" s="8" t="s">
        <v>317</v>
      </c>
      <c r="Q23" s="8" t="s">
        <v>272</v>
      </c>
      <c r="S23" s="9">
        <v>0</v>
      </c>
      <c r="U23" s="23">
        <v>-114.38</v>
      </c>
      <c r="V23" s="1">
        <v>62.45</v>
      </c>
      <c r="W23" s="1" t="s">
        <v>238</v>
      </c>
      <c r="X23" s="1"/>
      <c r="Y23" s="24" t="s">
        <v>314</v>
      </c>
      <c r="Z23" s="20">
        <v>20.5</v>
      </c>
      <c r="AA23" s="20">
        <v>13</v>
      </c>
      <c r="AB23" s="20">
        <v>16.8</v>
      </c>
      <c r="AC23" s="20"/>
      <c r="AE23" s="26"/>
      <c r="AM23" s="26"/>
      <c r="AN23" s="20"/>
      <c r="AO23" s="26"/>
      <c r="AP23" s="20"/>
      <c r="AQ23" s="26"/>
      <c r="AR23" s="20"/>
    </row>
    <row r="24" spans="1:44" ht="20">
      <c r="A24" s="1">
        <v>20150715</v>
      </c>
      <c r="B24" s="1">
        <v>12</v>
      </c>
      <c r="C24" s="2">
        <f t="shared" si="4"/>
        <v>2.3299000000000007</v>
      </c>
      <c r="D24">
        <f t="shared" si="0"/>
        <v>2.6299000000000006</v>
      </c>
      <c r="E24" s="3">
        <v>11.9</v>
      </c>
      <c r="F24">
        <f t="shared" si="5"/>
        <v>2.3299000000000007</v>
      </c>
      <c r="G24">
        <f t="shared" si="1"/>
        <v>0.1941583333333334</v>
      </c>
      <c r="K24" s="7" t="s">
        <v>318</v>
      </c>
      <c r="L24" s="8" t="s">
        <v>295</v>
      </c>
      <c r="M24" s="8" t="s">
        <v>304</v>
      </c>
      <c r="N24" s="8">
        <v>75</v>
      </c>
      <c r="O24" s="8" t="s">
        <v>265</v>
      </c>
      <c r="P24" s="8" t="s">
        <v>284</v>
      </c>
      <c r="Q24" s="8" t="s">
        <v>319</v>
      </c>
      <c r="S24" s="9">
        <v>2.1</v>
      </c>
      <c r="U24" s="23">
        <v>-114.38</v>
      </c>
      <c r="V24" s="1">
        <v>62.45</v>
      </c>
      <c r="W24" s="1" t="s">
        <v>238</v>
      </c>
      <c r="X24" s="1"/>
      <c r="Y24" s="24" t="s">
        <v>318</v>
      </c>
      <c r="Z24" s="20">
        <v>17.5</v>
      </c>
      <c r="AA24" s="20">
        <v>12</v>
      </c>
      <c r="AB24" s="20">
        <v>14.8</v>
      </c>
      <c r="AC24" s="20"/>
      <c r="AE24" s="26"/>
      <c r="AM24" s="26"/>
      <c r="AN24" s="20"/>
      <c r="AO24" s="26"/>
      <c r="AP24" s="20"/>
      <c r="AQ24" s="26"/>
      <c r="AR24" s="20"/>
    </row>
    <row r="25" spans="1:44" ht="20">
      <c r="A25" s="1">
        <v>20150715</v>
      </c>
      <c r="B25" s="1">
        <v>28</v>
      </c>
      <c r="C25" s="2">
        <f t="shared" si="4"/>
        <v>2.3299000000000007</v>
      </c>
      <c r="D25">
        <f t="shared" si="0"/>
        <v>2.6299000000000006</v>
      </c>
      <c r="E25" s="3">
        <v>11.9</v>
      </c>
      <c r="F25">
        <f t="shared" si="5"/>
        <v>2.3299000000000007</v>
      </c>
      <c r="G25">
        <f t="shared" si="1"/>
        <v>8.3210714285714318E-2</v>
      </c>
      <c r="K25" s="7" t="s">
        <v>320</v>
      </c>
      <c r="L25" s="8" t="s">
        <v>263</v>
      </c>
      <c r="M25" s="8" t="s">
        <v>289</v>
      </c>
      <c r="N25" s="8">
        <v>64</v>
      </c>
      <c r="O25" s="8" t="s">
        <v>246</v>
      </c>
      <c r="P25" s="8" t="s">
        <v>280</v>
      </c>
      <c r="Q25" s="8" t="s">
        <v>272</v>
      </c>
      <c r="S25" s="9">
        <v>0</v>
      </c>
      <c r="U25" s="23">
        <v>-114.38</v>
      </c>
      <c r="V25" s="1">
        <v>62.45</v>
      </c>
      <c r="W25" s="1" t="s">
        <v>238</v>
      </c>
      <c r="X25" s="1"/>
      <c r="Y25" s="24" t="s">
        <v>320</v>
      </c>
      <c r="Z25" s="20">
        <v>22</v>
      </c>
      <c r="AA25" s="20">
        <v>11.5</v>
      </c>
      <c r="AB25" s="20">
        <v>16.8</v>
      </c>
      <c r="AC25" s="20"/>
      <c r="AE25" s="26"/>
      <c r="AM25" s="26"/>
      <c r="AN25" s="20"/>
      <c r="AO25" s="20"/>
      <c r="AP25" s="20"/>
      <c r="AQ25" s="26"/>
      <c r="AR25" s="20"/>
    </row>
    <row r="26" spans="1:44" ht="20">
      <c r="A26" s="1">
        <v>20150715</v>
      </c>
      <c r="B26" s="1">
        <v>26</v>
      </c>
      <c r="C26" s="2">
        <f t="shared" si="4"/>
        <v>2.3299000000000007</v>
      </c>
      <c r="D26">
        <f t="shared" si="0"/>
        <v>2.6299000000000006</v>
      </c>
      <c r="E26" s="3">
        <v>11.9</v>
      </c>
      <c r="F26">
        <f t="shared" si="5"/>
        <v>2.3299000000000007</v>
      </c>
      <c r="G26">
        <f t="shared" si="1"/>
        <v>8.9611538461538492E-2</v>
      </c>
      <c r="K26" s="7" t="s">
        <v>321</v>
      </c>
      <c r="L26" s="8" t="s">
        <v>263</v>
      </c>
      <c r="M26" s="8" t="s">
        <v>315</v>
      </c>
      <c r="N26" s="8">
        <v>64</v>
      </c>
      <c r="O26" s="8" t="s">
        <v>296</v>
      </c>
      <c r="P26" s="8" t="s">
        <v>307</v>
      </c>
      <c r="Q26" s="8" t="s">
        <v>293</v>
      </c>
      <c r="S26" s="9">
        <v>0.1</v>
      </c>
      <c r="U26" s="23">
        <v>-114.38</v>
      </c>
      <c r="V26" s="1">
        <v>62.45</v>
      </c>
      <c r="W26" s="1" t="s">
        <v>238</v>
      </c>
      <c r="X26" s="1"/>
      <c r="Y26" s="24" t="s">
        <v>321</v>
      </c>
      <c r="Z26" s="20">
        <v>21</v>
      </c>
      <c r="AA26" s="20">
        <v>9.5</v>
      </c>
      <c r="AB26" s="20">
        <v>15.3</v>
      </c>
      <c r="AC26" s="20"/>
      <c r="AE26" s="26"/>
      <c r="AM26" s="26"/>
      <c r="AN26" s="20"/>
      <c r="AO26" s="20"/>
      <c r="AP26" s="20"/>
      <c r="AQ26" s="26"/>
      <c r="AR26" s="20"/>
    </row>
    <row r="27" spans="1:44" ht="20">
      <c r="A27" s="1">
        <v>20150715</v>
      </c>
      <c r="B27" s="1">
        <v>19</v>
      </c>
      <c r="C27" s="2">
        <f t="shared" si="4"/>
        <v>2.8382000000000005</v>
      </c>
      <c r="D27">
        <f t="shared" si="0"/>
        <v>3.1382000000000003</v>
      </c>
      <c r="E27" s="3">
        <v>14.2</v>
      </c>
      <c r="F27">
        <f t="shared" si="5"/>
        <v>2.8382000000000005</v>
      </c>
      <c r="G27">
        <f t="shared" si="1"/>
        <v>0.14937894736842108</v>
      </c>
      <c r="K27" s="7" t="s">
        <v>322</v>
      </c>
      <c r="L27" s="8" t="s">
        <v>256</v>
      </c>
      <c r="M27" s="8" t="s">
        <v>264</v>
      </c>
      <c r="N27" s="8">
        <v>67</v>
      </c>
      <c r="O27" s="8" t="s">
        <v>275</v>
      </c>
      <c r="P27" s="8" t="s">
        <v>323</v>
      </c>
      <c r="Q27" s="8" t="s">
        <v>324</v>
      </c>
      <c r="S27" s="9">
        <v>0.6</v>
      </c>
      <c r="U27" s="23">
        <v>-114.38</v>
      </c>
      <c r="V27" s="1">
        <v>62.45</v>
      </c>
      <c r="W27" s="1" t="s">
        <v>238</v>
      </c>
      <c r="X27" s="1"/>
      <c r="Y27" s="24" t="s">
        <v>322</v>
      </c>
      <c r="Z27" s="20">
        <v>21.5</v>
      </c>
      <c r="AA27" s="20">
        <v>12</v>
      </c>
      <c r="AB27" s="20">
        <v>16.8</v>
      </c>
      <c r="AC27" s="20"/>
      <c r="AE27" s="26"/>
      <c r="AM27" s="26"/>
      <c r="AN27" s="20"/>
      <c r="AO27" s="26"/>
      <c r="AP27" s="20"/>
      <c r="AQ27" s="26"/>
      <c r="AR27" s="20"/>
    </row>
    <row r="28" spans="1:44" ht="20">
      <c r="A28" s="1">
        <v>20150715</v>
      </c>
      <c r="B28" s="1">
        <v>31</v>
      </c>
      <c r="C28" s="2">
        <f t="shared" si="4"/>
        <v>2.8382000000000005</v>
      </c>
      <c r="D28">
        <f t="shared" si="0"/>
        <v>3.1382000000000003</v>
      </c>
      <c r="E28" s="3">
        <v>14.2</v>
      </c>
      <c r="F28">
        <f t="shared" si="5"/>
        <v>2.8382000000000005</v>
      </c>
      <c r="G28">
        <f t="shared" si="1"/>
        <v>9.1554838709677441E-2</v>
      </c>
      <c r="K28" s="7" t="s">
        <v>325</v>
      </c>
      <c r="L28" s="8" t="s">
        <v>250</v>
      </c>
      <c r="M28" s="8" t="s">
        <v>304</v>
      </c>
      <c r="N28" s="8">
        <v>57</v>
      </c>
      <c r="O28" s="8" t="s">
        <v>299</v>
      </c>
      <c r="P28" s="8" t="s">
        <v>280</v>
      </c>
      <c r="Q28" s="8" t="s">
        <v>272</v>
      </c>
      <c r="S28" s="9">
        <v>0</v>
      </c>
      <c r="U28" s="23">
        <v>-114.38</v>
      </c>
      <c r="V28" s="1">
        <v>62.45</v>
      </c>
      <c r="W28" s="1" t="s">
        <v>238</v>
      </c>
      <c r="X28" s="1"/>
      <c r="Y28" s="24" t="s">
        <v>325</v>
      </c>
      <c r="Z28" s="20">
        <v>22</v>
      </c>
      <c r="AA28" s="20">
        <v>14.5</v>
      </c>
      <c r="AB28" s="20">
        <v>18.3</v>
      </c>
      <c r="AC28" s="20"/>
      <c r="AE28" s="26"/>
      <c r="AM28" s="26"/>
      <c r="AN28" s="20"/>
      <c r="AO28" s="26"/>
      <c r="AP28" s="20"/>
      <c r="AQ28" s="26"/>
      <c r="AR28" s="20"/>
    </row>
    <row r="29" spans="1:44" ht="20">
      <c r="A29" s="1">
        <v>20150715</v>
      </c>
      <c r="B29" s="1">
        <v>27</v>
      </c>
      <c r="C29" s="2">
        <f t="shared" si="4"/>
        <v>2.8382000000000005</v>
      </c>
      <c r="D29">
        <f t="shared" si="0"/>
        <v>3.1382000000000003</v>
      </c>
      <c r="E29" s="3">
        <v>14.2</v>
      </c>
      <c r="F29">
        <f t="shared" si="5"/>
        <v>2.8382000000000005</v>
      </c>
      <c r="G29">
        <f t="shared" si="1"/>
        <v>0.10511851851851854</v>
      </c>
      <c r="K29" s="7" t="s">
        <v>326</v>
      </c>
      <c r="L29" s="8" t="s">
        <v>250</v>
      </c>
      <c r="M29" s="8" t="s">
        <v>251</v>
      </c>
      <c r="N29" s="8">
        <v>60</v>
      </c>
      <c r="O29" s="8" t="s">
        <v>296</v>
      </c>
      <c r="P29" s="8" t="s">
        <v>327</v>
      </c>
      <c r="Q29" s="8" t="s">
        <v>272</v>
      </c>
      <c r="S29" s="9">
        <v>0</v>
      </c>
      <c r="U29" s="23">
        <v>-114.38</v>
      </c>
      <c r="V29" s="1">
        <v>62.45</v>
      </c>
      <c r="W29" s="1" t="s">
        <v>238</v>
      </c>
      <c r="X29" s="1"/>
      <c r="Y29" s="24" t="s">
        <v>326</v>
      </c>
      <c r="Z29" s="20">
        <v>21</v>
      </c>
      <c r="AA29" s="20">
        <v>11</v>
      </c>
      <c r="AB29" s="20">
        <v>16</v>
      </c>
      <c r="AC29" s="20"/>
      <c r="AE29" s="26"/>
      <c r="AM29" s="26"/>
      <c r="AN29" s="20"/>
      <c r="AO29" s="26"/>
      <c r="AP29" s="20"/>
      <c r="AQ29" s="26"/>
      <c r="AR29" s="20"/>
    </row>
    <row r="30" spans="1:44" ht="20">
      <c r="A30" s="1">
        <v>20150715</v>
      </c>
      <c r="B30" s="1">
        <v>26</v>
      </c>
      <c r="C30" s="2">
        <f t="shared" si="4"/>
        <v>2.8382000000000005</v>
      </c>
      <c r="D30">
        <f t="shared" si="0"/>
        <v>3.1382000000000003</v>
      </c>
      <c r="E30" s="3">
        <v>14.2</v>
      </c>
      <c r="F30">
        <f t="shared" si="5"/>
        <v>2.8382000000000005</v>
      </c>
      <c r="G30">
        <f t="shared" si="1"/>
        <v>0.10916153846153848</v>
      </c>
      <c r="K30" s="7" t="s">
        <v>328</v>
      </c>
      <c r="L30" s="8" t="s">
        <v>329</v>
      </c>
      <c r="M30" s="8" t="s">
        <v>286</v>
      </c>
      <c r="N30" s="8">
        <v>83</v>
      </c>
      <c r="O30" s="8" t="s">
        <v>252</v>
      </c>
      <c r="P30" s="8" t="s">
        <v>307</v>
      </c>
      <c r="Q30" s="8" t="s">
        <v>300</v>
      </c>
      <c r="S30" s="9">
        <v>0.3</v>
      </c>
      <c r="U30" s="23">
        <v>-114.38</v>
      </c>
      <c r="V30" s="1">
        <v>62.45</v>
      </c>
      <c r="W30" s="1" t="s">
        <v>238</v>
      </c>
      <c r="X30" s="1"/>
      <c r="Y30" s="24" t="s">
        <v>328</v>
      </c>
      <c r="Z30" s="20">
        <v>21.5</v>
      </c>
      <c r="AA30" s="20">
        <v>8.5</v>
      </c>
      <c r="AB30" s="20">
        <v>15</v>
      </c>
      <c r="AC30" s="20"/>
      <c r="AE30" s="26"/>
      <c r="AM30" s="26"/>
      <c r="AN30" s="20"/>
      <c r="AO30" s="26"/>
      <c r="AP30" s="20"/>
      <c r="AQ30" s="26"/>
      <c r="AR30" s="20"/>
    </row>
    <row r="31" spans="1:44" ht="20">
      <c r="A31" s="1">
        <v>20150715</v>
      </c>
      <c r="B31" s="1">
        <v>21</v>
      </c>
      <c r="C31" s="2">
        <f t="shared" si="4"/>
        <v>2.8382000000000005</v>
      </c>
      <c r="D31">
        <f t="shared" si="0"/>
        <v>3.1382000000000003</v>
      </c>
      <c r="E31" s="3">
        <v>14.2</v>
      </c>
      <c r="F31">
        <f t="shared" si="5"/>
        <v>2.8382000000000005</v>
      </c>
      <c r="G31">
        <f t="shared" si="1"/>
        <v>0.13515238095238097</v>
      </c>
      <c r="K31" s="7" t="s">
        <v>330</v>
      </c>
      <c r="L31" s="8" t="s">
        <v>286</v>
      </c>
      <c r="M31" s="8" t="s">
        <v>251</v>
      </c>
      <c r="N31" s="8">
        <v>86</v>
      </c>
      <c r="O31" s="8" t="s">
        <v>257</v>
      </c>
      <c r="P31" s="8" t="s">
        <v>331</v>
      </c>
      <c r="Q31" s="8" t="s">
        <v>332</v>
      </c>
      <c r="S31" s="9">
        <v>1.4</v>
      </c>
      <c r="U31" s="23">
        <v>-114.38</v>
      </c>
      <c r="V31" s="1">
        <v>62.45</v>
      </c>
      <c r="W31" s="1" t="s">
        <v>238</v>
      </c>
      <c r="X31" s="1"/>
      <c r="Y31" s="24" t="s">
        <v>330</v>
      </c>
      <c r="Z31" s="20">
        <v>22.5</v>
      </c>
      <c r="AA31" s="20">
        <v>11</v>
      </c>
      <c r="AB31" s="20">
        <v>16.8</v>
      </c>
      <c r="AC31" s="20"/>
      <c r="AE31" s="26"/>
      <c r="AM31" s="26"/>
      <c r="AN31" s="20"/>
      <c r="AO31" s="26"/>
      <c r="AP31" s="20"/>
      <c r="AQ31" s="26"/>
      <c r="AR31" s="20"/>
    </row>
    <row r="32" spans="1:44" ht="20">
      <c r="A32" s="1">
        <v>20150715</v>
      </c>
      <c r="B32" s="1">
        <v>12</v>
      </c>
      <c r="C32" s="2">
        <f t="shared" si="4"/>
        <v>1.5785000000000002</v>
      </c>
      <c r="D32">
        <f t="shared" si="0"/>
        <v>1.8785000000000003</v>
      </c>
      <c r="E32" s="3">
        <v>8.5</v>
      </c>
      <c r="F32">
        <f t="shared" si="5"/>
        <v>1.5785000000000002</v>
      </c>
      <c r="G32">
        <f t="shared" si="1"/>
        <v>0.1315416666666667</v>
      </c>
      <c r="K32" s="7" t="s">
        <v>333</v>
      </c>
      <c r="L32" s="8" t="s">
        <v>286</v>
      </c>
      <c r="M32" s="8" t="s">
        <v>245</v>
      </c>
      <c r="N32" s="8">
        <v>93</v>
      </c>
      <c r="O32" s="8" t="s">
        <v>306</v>
      </c>
      <c r="P32" s="8" t="s">
        <v>310</v>
      </c>
      <c r="Q32" s="8" t="s">
        <v>334</v>
      </c>
      <c r="S32" s="9">
        <v>4.4000000000000004</v>
      </c>
      <c r="U32" s="23">
        <v>-114.38</v>
      </c>
      <c r="V32" s="1">
        <v>62.45</v>
      </c>
      <c r="W32" s="1" t="s">
        <v>238</v>
      </c>
      <c r="X32" s="1"/>
      <c r="Y32" s="24" t="s">
        <v>333</v>
      </c>
      <c r="Z32" s="20">
        <v>24</v>
      </c>
      <c r="AA32" s="20">
        <v>11.5</v>
      </c>
      <c r="AB32" s="20">
        <v>17.8</v>
      </c>
      <c r="AC32" s="20"/>
      <c r="AE32" s="26"/>
      <c r="AM32" s="26"/>
      <c r="AN32" s="20"/>
      <c r="AO32" s="26"/>
      <c r="AP32" s="20"/>
      <c r="AQ32" s="26"/>
      <c r="AR32" s="20"/>
    </row>
    <row r="33" spans="1:36" ht="20">
      <c r="A33" s="1">
        <v>20150715</v>
      </c>
      <c r="B33" s="1">
        <v>11</v>
      </c>
      <c r="C33" s="2">
        <f t="shared" si="4"/>
        <v>1.5785000000000002</v>
      </c>
      <c r="D33">
        <f t="shared" si="0"/>
        <v>1.8785000000000003</v>
      </c>
      <c r="E33" s="3">
        <v>8.5</v>
      </c>
      <c r="F33">
        <f t="shared" si="5"/>
        <v>1.5785000000000002</v>
      </c>
      <c r="G33">
        <f t="shared" si="1"/>
        <v>0.14350000000000002</v>
      </c>
      <c r="K33" s="7" t="s">
        <v>335</v>
      </c>
      <c r="L33" s="8" t="s">
        <v>268</v>
      </c>
      <c r="M33" s="8" t="s">
        <v>245</v>
      </c>
      <c r="N33" s="8">
        <v>87</v>
      </c>
      <c r="O33" s="8" t="s">
        <v>257</v>
      </c>
      <c r="P33" s="8" t="s">
        <v>312</v>
      </c>
      <c r="Q33" s="8" t="s">
        <v>281</v>
      </c>
      <c r="S33" s="9">
        <v>1.1000000000000001</v>
      </c>
      <c r="U33" s="23">
        <v>-114.38</v>
      </c>
      <c r="V33" s="1">
        <v>62.45</v>
      </c>
      <c r="W33" s="1" t="s">
        <v>238</v>
      </c>
      <c r="X33" s="1"/>
      <c r="Y33" s="24" t="s">
        <v>335</v>
      </c>
      <c r="Z33" s="20">
        <v>22</v>
      </c>
      <c r="AA33" s="20">
        <v>14</v>
      </c>
      <c r="AB33" s="20">
        <v>18</v>
      </c>
      <c r="AC33" s="20"/>
      <c r="AD33" s="2"/>
    </row>
    <row r="34" spans="1:36">
      <c r="A34" s="1">
        <v>20150715</v>
      </c>
      <c r="B34" s="1">
        <v>13</v>
      </c>
      <c r="C34" s="2">
        <f t="shared" si="4"/>
        <v>1.5785000000000002</v>
      </c>
      <c r="D34">
        <f t="shared" si="0"/>
        <v>1.8785000000000003</v>
      </c>
      <c r="E34" s="3">
        <v>8.5</v>
      </c>
      <c r="F34">
        <f t="shared" si="5"/>
        <v>1.5785000000000002</v>
      </c>
      <c r="G34">
        <f t="shared" si="1"/>
        <v>0.12142307692307694</v>
      </c>
    </row>
    <row r="35" spans="1:36" ht="21">
      <c r="A35" s="1">
        <v>20150715</v>
      </c>
      <c r="B35" s="1">
        <v>11</v>
      </c>
      <c r="C35" s="2">
        <f t="shared" si="4"/>
        <v>1.5785000000000002</v>
      </c>
      <c r="D35">
        <f t="shared" si="0"/>
        <v>1.8785000000000003</v>
      </c>
      <c r="E35" s="3">
        <v>8.5</v>
      </c>
      <c r="F35">
        <f t="shared" si="5"/>
        <v>1.5785000000000002</v>
      </c>
      <c r="G35">
        <f t="shared" si="1"/>
        <v>0.14350000000000002</v>
      </c>
      <c r="K35" s="27" t="s">
        <v>340</v>
      </c>
      <c r="L35" s="27" t="s">
        <v>17</v>
      </c>
      <c r="M35" s="27" t="s">
        <v>17</v>
      </c>
      <c r="N35" s="27" t="s">
        <v>18</v>
      </c>
      <c r="O35" s="27" t="s">
        <v>19</v>
      </c>
      <c r="P35" s="27" t="s">
        <v>20</v>
      </c>
      <c r="Q35" s="27" t="s">
        <v>21</v>
      </c>
      <c r="AG35" s="25"/>
      <c r="AI35" s="25"/>
      <c r="AJ35" s="1"/>
    </row>
    <row r="36" spans="1:36" ht="20">
      <c r="A36" s="1">
        <v>20150715</v>
      </c>
      <c r="B36" s="1">
        <v>11</v>
      </c>
      <c r="C36" s="2">
        <f t="shared" si="4"/>
        <v>1.5785000000000002</v>
      </c>
      <c r="D36">
        <f t="shared" si="0"/>
        <v>1.8785000000000003</v>
      </c>
      <c r="E36" s="3">
        <v>8.5</v>
      </c>
      <c r="F36">
        <f t="shared" si="5"/>
        <v>1.5785000000000002</v>
      </c>
      <c r="G36">
        <f t="shared" si="1"/>
        <v>0.14350000000000002</v>
      </c>
      <c r="K36" s="7">
        <v>42156</v>
      </c>
      <c r="L36" s="8" t="s">
        <v>41</v>
      </c>
      <c r="M36" s="8" t="s">
        <v>341</v>
      </c>
      <c r="N36" s="8">
        <v>47</v>
      </c>
      <c r="O36" s="8" t="s">
        <v>55</v>
      </c>
      <c r="P36" s="8" t="s">
        <v>34</v>
      </c>
      <c r="Q36" s="8" t="s">
        <v>40</v>
      </c>
      <c r="U36" s="23" t="s">
        <v>236</v>
      </c>
      <c r="V36" s="1" t="s">
        <v>237</v>
      </c>
      <c r="W36" s="1" t="s">
        <v>238</v>
      </c>
      <c r="X36" s="1"/>
      <c r="Y36" s="24">
        <v>42156</v>
      </c>
      <c r="Z36" s="20">
        <v>6.5</v>
      </c>
      <c r="AA36" s="20">
        <v>2.5</v>
      </c>
      <c r="AB36" s="20">
        <v>4.5</v>
      </c>
      <c r="AC36" s="20"/>
      <c r="AG36" s="25"/>
      <c r="AI36" s="25"/>
      <c r="AJ36" s="1"/>
    </row>
    <row r="37" spans="1:36" ht="20">
      <c r="A37" s="1">
        <v>20150715</v>
      </c>
      <c r="B37" s="1">
        <v>14</v>
      </c>
      <c r="C37" s="2">
        <f t="shared" si="4"/>
        <v>1.5122</v>
      </c>
      <c r="D37">
        <f t="shared" si="0"/>
        <v>1.8122</v>
      </c>
      <c r="E37" s="3">
        <v>8.1999999999999993</v>
      </c>
      <c r="F37">
        <f t="shared" si="5"/>
        <v>1.5122</v>
      </c>
      <c r="G37">
        <f t="shared" si="1"/>
        <v>0.10801428571428572</v>
      </c>
      <c r="K37" s="7">
        <v>42157</v>
      </c>
      <c r="L37" s="8" t="s">
        <v>63</v>
      </c>
      <c r="M37" s="8" t="s">
        <v>342</v>
      </c>
      <c r="N37" s="8">
        <v>46</v>
      </c>
      <c r="O37" s="8" t="s">
        <v>55</v>
      </c>
      <c r="P37" s="8" t="s">
        <v>61</v>
      </c>
      <c r="Q37" s="8" t="s">
        <v>40</v>
      </c>
      <c r="U37" s="23" t="s">
        <v>236</v>
      </c>
      <c r="V37" s="1" t="s">
        <v>237</v>
      </c>
      <c r="W37" s="1" t="s">
        <v>238</v>
      </c>
      <c r="X37" s="1"/>
      <c r="Y37" s="24">
        <v>42157</v>
      </c>
      <c r="Z37" s="20">
        <v>7</v>
      </c>
      <c r="AA37" s="20">
        <v>-2.5</v>
      </c>
      <c r="AB37" s="20">
        <v>2.2999999999999998</v>
      </c>
      <c r="AC37" s="20"/>
      <c r="AG37" s="25"/>
      <c r="AI37" s="25"/>
      <c r="AJ37" s="1"/>
    </row>
    <row r="38" spans="1:36" ht="20">
      <c r="A38" s="1">
        <v>20150715</v>
      </c>
      <c r="B38" s="1">
        <v>9</v>
      </c>
      <c r="C38" s="2">
        <f t="shared" si="4"/>
        <v>1.5122</v>
      </c>
      <c r="D38">
        <f t="shared" si="0"/>
        <v>1.8122</v>
      </c>
      <c r="E38" s="3">
        <v>8.1999999999999993</v>
      </c>
      <c r="F38">
        <f t="shared" si="5"/>
        <v>1.5122</v>
      </c>
      <c r="G38">
        <f t="shared" si="1"/>
        <v>0.16802222222222221</v>
      </c>
      <c r="K38" s="7">
        <v>42158</v>
      </c>
      <c r="L38" s="8" t="s">
        <v>29</v>
      </c>
      <c r="M38" s="8" t="s">
        <v>343</v>
      </c>
      <c r="N38" s="8">
        <v>58</v>
      </c>
      <c r="O38" s="8" t="s">
        <v>58</v>
      </c>
      <c r="P38" s="8" t="s">
        <v>31</v>
      </c>
      <c r="Q38" s="8" t="s">
        <v>66</v>
      </c>
      <c r="U38" s="23" t="s">
        <v>236</v>
      </c>
      <c r="V38" s="1" t="s">
        <v>237</v>
      </c>
      <c r="W38" s="1" t="s">
        <v>238</v>
      </c>
      <c r="X38" s="1"/>
      <c r="Y38" s="24">
        <v>42158</v>
      </c>
      <c r="Z38" s="20">
        <v>17</v>
      </c>
      <c r="AA38" s="20">
        <v>3.5</v>
      </c>
      <c r="AB38" s="20">
        <v>10.3</v>
      </c>
      <c r="AC38" s="20"/>
      <c r="AG38" s="25"/>
      <c r="AI38" s="25"/>
      <c r="AJ38" s="1"/>
    </row>
    <row r="39" spans="1:36" ht="20">
      <c r="A39" s="1">
        <v>20150715</v>
      </c>
      <c r="B39" s="1">
        <v>10</v>
      </c>
      <c r="C39" s="2">
        <f t="shared" si="4"/>
        <v>1.5122</v>
      </c>
      <c r="D39">
        <f t="shared" si="0"/>
        <v>1.8122</v>
      </c>
      <c r="E39" s="3">
        <v>8.1999999999999993</v>
      </c>
      <c r="F39">
        <f t="shared" si="5"/>
        <v>1.5122</v>
      </c>
      <c r="G39">
        <f t="shared" si="1"/>
        <v>0.15121999999999999</v>
      </c>
      <c r="K39" s="7">
        <v>42159</v>
      </c>
      <c r="L39" s="8" t="s">
        <v>32</v>
      </c>
      <c r="M39" s="8" t="s">
        <v>41</v>
      </c>
      <c r="N39" s="8">
        <v>52</v>
      </c>
      <c r="O39" s="8" t="s">
        <v>53</v>
      </c>
      <c r="P39" s="8" t="s">
        <v>45</v>
      </c>
      <c r="Q39" s="8" t="s">
        <v>51</v>
      </c>
      <c r="S39" s="2">
        <v>0.1</v>
      </c>
      <c r="U39" s="23" t="s">
        <v>236</v>
      </c>
      <c r="V39" s="1" t="s">
        <v>237</v>
      </c>
      <c r="W39" s="1" t="s">
        <v>238</v>
      </c>
      <c r="X39" s="1"/>
      <c r="Y39" s="24">
        <v>42159</v>
      </c>
      <c r="Z39" s="20">
        <v>20</v>
      </c>
      <c r="AA39" s="20">
        <v>4</v>
      </c>
      <c r="AB39" s="20">
        <v>12</v>
      </c>
      <c r="AC39" s="20"/>
      <c r="AG39" s="25"/>
      <c r="AI39" s="25"/>
      <c r="AJ39" s="1"/>
    </row>
    <row r="40" spans="1:36" ht="20">
      <c r="A40" s="1">
        <v>20150715</v>
      </c>
      <c r="B40" s="1">
        <v>2</v>
      </c>
      <c r="C40" s="2">
        <f t="shared" si="4"/>
        <v>1.5122</v>
      </c>
      <c r="D40">
        <f t="shared" si="0"/>
        <v>1.8122</v>
      </c>
      <c r="E40" s="3">
        <v>8.1999999999999993</v>
      </c>
      <c r="F40">
        <f t="shared" si="5"/>
        <v>1.5122</v>
      </c>
      <c r="G40">
        <f t="shared" si="1"/>
        <v>0.75609999999999999</v>
      </c>
      <c r="K40" s="7">
        <v>42160</v>
      </c>
      <c r="L40" s="8" t="s">
        <v>28</v>
      </c>
      <c r="M40" s="8" t="s">
        <v>38</v>
      </c>
      <c r="N40" s="8">
        <v>38</v>
      </c>
      <c r="O40" s="8" t="s">
        <v>55</v>
      </c>
      <c r="P40" s="8" t="s">
        <v>344</v>
      </c>
      <c r="Q40" s="8" t="s">
        <v>40</v>
      </c>
      <c r="S40" s="2">
        <v>0</v>
      </c>
      <c r="U40" s="23" t="s">
        <v>236</v>
      </c>
      <c r="V40" s="1" t="s">
        <v>237</v>
      </c>
      <c r="W40" s="1" t="s">
        <v>238</v>
      </c>
      <c r="X40" s="1"/>
      <c r="Y40" s="24">
        <v>42160</v>
      </c>
      <c r="Z40" s="20">
        <v>22</v>
      </c>
      <c r="AA40" s="20">
        <v>8</v>
      </c>
      <c r="AB40" s="20">
        <v>15</v>
      </c>
      <c r="AC40" s="20"/>
      <c r="AG40" s="25"/>
      <c r="AI40" s="25"/>
      <c r="AJ40" s="1"/>
    </row>
    <row r="41" spans="1:36" ht="20">
      <c r="A41" s="1">
        <v>20150715</v>
      </c>
      <c r="B41" s="1">
        <v>8</v>
      </c>
      <c r="C41" s="2">
        <f t="shared" si="4"/>
        <v>1.5122</v>
      </c>
      <c r="D41">
        <f t="shared" si="0"/>
        <v>1.8122</v>
      </c>
      <c r="E41" s="3">
        <v>8.1999999999999993</v>
      </c>
      <c r="F41">
        <f t="shared" ref="F41:F104" si="9">C41</f>
        <v>1.5122</v>
      </c>
      <c r="G41">
        <f t="shared" ref="G41:G104" si="10">F41/B41</f>
        <v>0.189025</v>
      </c>
      <c r="K41" s="7">
        <v>42161</v>
      </c>
      <c r="L41" s="8" t="s">
        <v>54</v>
      </c>
      <c r="M41" s="8" t="s">
        <v>345</v>
      </c>
      <c r="N41" s="8">
        <v>35</v>
      </c>
      <c r="O41" s="8" t="s">
        <v>46</v>
      </c>
      <c r="P41" s="8" t="s">
        <v>346</v>
      </c>
      <c r="Q41" s="8" t="s">
        <v>40</v>
      </c>
      <c r="U41" s="23" t="s">
        <v>236</v>
      </c>
      <c r="V41" s="1" t="s">
        <v>237</v>
      </c>
      <c r="W41" s="1" t="s">
        <v>238</v>
      </c>
      <c r="X41" s="1"/>
      <c r="Y41" s="24">
        <v>42161</v>
      </c>
      <c r="Z41" s="20">
        <v>26.5</v>
      </c>
      <c r="AA41" s="20">
        <v>9</v>
      </c>
      <c r="AB41" s="20">
        <v>17.8</v>
      </c>
      <c r="AC41" s="20"/>
      <c r="AG41" s="25"/>
      <c r="AI41" s="1"/>
      <c r="AJ41" s="1"/>
    </row>
    <row r="42" spans="1:36" ht="20">
      <c r="A42" s="1">
        <v>20150715</v>
      </c>
      <c r="B42" s="1">
        <v>20</v>
      </c>
      <c r="C42" s="2">
        <f t="shared" si="4"/>
        <v>1.7331999999999999</v>
      </c>
      <c r="D42">
        <f t="shared" si="0"/>
        <v>2.0331999999999999</v>
      </c>
      <c r="E42" s="3">
        <v>9.1999999999999993</v>
      </c>
      <c r="F42">
        <f t="shared" si="9"/>
        <v>1.7331999999999999</v>
      </c>
      <c r="G42">
        <f t="shared" si="10"/>
        <v>8.6659999999999987E-2</v>
      </c>
      <c r="K42" s="7">
        <v>42162</v>
      </c>
      <c r="L42" s="8" t="s">
        <v>52</v>
      </c>
      <c r="M42" s="8" t="s">
        <v>43</v>
      </c>
      <c r="N42" s="8">
        <v>58</v>
      </c>
      <c r="O42" s="8" t="s">
        <v>58</v>
      </c>
      <c r="P42" s="8" t="s">
        <v>65</v>
      </c>
      <c r="Q42" s="8" t="s">
        <v>40</v>
      </c>
      <c r="U42" s="23" t="s">
        <v>236</v>
      </c>
      <c r="V42" s="1" t="s">
        <v>237</v>
      </c>
      <c r="W42" s="1" t="s">
        <v>238</v>
      </c>
      <c r="X42" s="1"/>
      <c r="Y42" s="24">
        <v>42162</v>
      </c>
      <c r="Z42" s="20">
        <v>20</v>
      </c>
      <c r="AA42" s="20">
        <v>12.5</v>
      </c>
      <c r="AB42" s="20">
        <v>16.3</v>
      </c>
      <c r="AC42" s="20"/>
      <c r="AG42" s="25"/>
      <c r="AI42" s="25"/>
      <c r="AJ42" s="1"/>
    </row>
    <row r="43" spans="1:36" ht="20">
      <c r="A43" s="1">
        <v>20150715</v>
      </c>
      <c r="B43" s="1">
        <v>11</v>
      </c>
      <c r="C43" s="2">
        <f t="shared" si="4"/>
        <v>1.7331999999999999</v>
      </c>
      <c r="D43">
        <f t="shared" si="0"/>
        <v>2.0331999999999999</v>
      </c>
      <c r="E43" s="3">
        <v>9.1999999999999993</v>
      </c>
      <c r="F43">
        <f t="shared" si="9"/>
        <v>1.7331999999999999</v>
      </c>
      <c r="G43">
        <f t="shared" si="10"/>
        <v>0.15756363636363635</v>
      </c>
      <c r="K43" s="7">
        <v>42163</v>
      </c>
      <c r="L43" s="8" t="s">
        <v>52</v>
      </c>
      <c r="M43" s="8" t="s">
        <v>347</v>
      </c>
      <c r="N43" s="8">
        <v>54</v>
      </c>
      <c r="O43" s="8" t="s">
        <v>53</v>
      </c>
      <c r="P43" s="8" t="s">
        <v>42</v>
      </c>
      <c r="Q43" s="8" t="s">
        <v>40</v>
      </c>
      <c r="U43" s="23" t="s">
        <v>236</v>
      </c>
      <c r="V43" s="1" t="s">
        <v>237</v>
      </c>
      <c r="W43" s="1" t="s">
        <v>238</v>
      </c>
      <c r="X43" s="1"/>
      <c r="Y43" s="24">
        <v>42163</v>
      </c>
      <c r="Z43" s="20">
        <v>22</v>
      </c>
      <c r="AA43" s="20">
        <v>9.5</v>
      </c>
      <c r="AB43" s="20">
        <v>15.8</v>
      </c>
      <c r="AC43" s="20"/>
      <c r="AG43" s="25"/>
      <c r="AI43" s="25"/>
      <c r="AJ43" s="1"/>
    </row>
    <row r="44" spans="1:36" ht="20">
      <c r="A44" s="1">
        <v>20150715</v>
      </c>
      <c r="B44" s="1">
        <v>8</v>
      </c>
      <c r="C44" s="2">
        <f t="shared" si="4"/>
        <v>1.7331999999999999</v>
      </c>
      <c r="D44">
        <f t="shared" si="0"/>
        <v>2.0331999999999999</v>
      </c>
      <c r="E44" s="3">
        <v>9.1999999999999993</v>
      </c>
      <c r="F44">
        <f t="shared" si="9"/>
        <v>1.7331999999999999</v>
      </c>
      <c r="G44">
        <f t="shared" si="10"/>
        <v>0.21664999999999998</v>
      </c>
      <c r="K44" s="7">
        <v>42164</v>
      </c>
      <c r="L44" s="8" t="s">
        <v>54</v>
      </c>
      <c r="M44" s="8" t="s">
        <v>347</v>
      </c>
      <c r="N44" s="8">
        <v>41</v>
      </c>
      <c r="O44" s="8" t="s">
        <v>25</v>
      </c>
      <c r="P44" s="8" t="s">
        <v>42</v>
      </c>
      <c r="Q44" s="8" t="s">
        <v>40</v>
      </c>
      <c r="U44" s="23" t="s">
        <v>236</v>
      </c>
      <c r="V44" s="1" t="s">
        <v>237</v>
      </c>
      <c r="W44" s="1" t="s">
        <v>238</v>
      </c>
      <c r="X44" s="1"/>
      <c r="Y44" s="24">
        <v>42164</v>
      </c>
      <c r="Z44" s="20">
        <v>17.5</v>
      </c>
      <c r="AA44" s="20">
        <v>8.5</v>
      </c>
      <c r="AB44" s="20">
        <v>13</v>
      </c>
      <c r="AC44" s="20"/>
      <c r="AG44" s="25"/>
      <c r="AI44" s="25"/>
      <c r="AJ44" s="1"/>
    </row>
    <row r="45" spans="1:36" ht="20">
      <c r="A45" s="1">
        <v>20150715</v>
      </c>
      <c r="B45" s="1">
        <v>9</v>
      </c>
      <c r="C45" s="2">
        <f t="shared" si="4"/>
        <v>1.7331999999999999</v>
      </c>
      <c r="D45">
        <f t="shared" si="0"/>
        <v>2.0331999999999999</v>
      </c>
      <c r="E45" s="3">
        <v>9.1999999999999993</v>
      </c>
      <c r="F45">
        <f t="shared" si="9"/>
        <v>1.7331999999999999</v>
      </c>
      <c r="G45">
        <f t="shared" si="10"/>
        <v>0.19257777777777776</v>
      </c>
      <c r="K45" s="7">
        <v>42165</v>
      </c>
      <c r="L45" s="8" t="s">
        <v>23</v>
      </c>
      <c r="M45" s="8" t="s">
        <v>38</v>
      </c>
      <c r="N45" s="8">
        <v>42</v>
      </c>
      <c r="O45" s="8" t="s">
        <v>39</v>
      </c>
      <c r="P45" s="8" t="s">
        <v>67</v>
      </c>
      <c r="Q45" s="8" t="s">
        <v>40</v>
      </c>
      <c r="U45" s="23" t="s">
        <v>236</v>
      </c>
      <c r="V45" s="1" t="s">
        <v>237</v>
      </c>
      <c r="W45" s="1" t="s">
        <v>238</v>
      </c>
      <c r="X45" s="1"/>
      <c r="Y45" s="24">
        <v>42165</v>
      </c>
      <c r="Z45" s="20">
        <v>19</v>
      </c>
      <c r="AA45" s="20">
        <v>5</v>
      </c>
      <c r="AB45" s="20">
        <v>12</v>
      </c>
      <c r="AC45" s="20"/>
      <c r="AG45" s="25"/>
      <c r="AI45" s="25"/>
      <c r="AJ45" s="1"/>
    </row>
    <row r="46" spans="1:36" ht="20">
      <c r="A46" s="1">
        <v>20150715</v>
      </c>
      <c r="B46" s="1">
        <v>8</v>
      </c>
      <c r="C46" s="2">
        <f t="shared" si="4"/>
        <v>1.7331999999999999</v>
      </c>
      <c r="D46">
        <f t="shared" si="0"/>
        <v>2.0331999999999999</v>
      </c>
      <c r="E46" s="3">
        <v>9.1999999999999993</v>
      </c>
      <c r="F46">
        <f t="shared" si="9"/>
        <v>1.7331999999999999</v>
      </c>
      <c r="G46">
        <f t="shared" si="10"/>
        <v>0.21664999999999998</v>
      </c>
      <c r="K46" s="7">
        <v>42166</v>
      </c>
      <c r="L46" s="8" t="s">
        <v>23</v>
      </c>
      <c r="M46" s="8" t="s">
        <v>41</v>
      </c>
      <c r="N46" s="8">
        <v>42</v>
      </c>
      <c r="O46" s="8" t="s">
        <v>37</v>
      </c>
      <c r="P46" s="8" t="s">
        <v>348</v>
      </c>
      <c r="Q46" s="8" t="s">
        <v>56</v>
      </c>
      <c r="S46" s="2">
        <v>0.3</v>
      </c>
      <c r="U46" s="23" t="s">
        <v>236</v>
      </c>
      <c r="V46" s="1" t="s">
        <v>237</v>
      </c>
      <c r="W46" s="1" t="s">
        <v>238</v>
      </c>
      <c r="X46" s="1"/>
      <c r="Y46" s="24">
        <v>42166</v>
      </c>
      <c r="Z46" s="20">
        <v>24</v>
      </c>
      <c r="AA46" s="20">
        <v>13</v>
      </c>
      <c r="AB46" s="20">
        <v>18.5</v>
      </c>
      <c r="AC46" s="20"/>
      <c r="AG46" s="25"/>
      <c r="AI46" s="25"/>
      <c r="AJ46" s="1"/>
    </row>
    <row r="47" spans="1:36" ht="20">
      <c r="A47" s="1">
        <v>20150715</v>
      </c>
      <c r="B47" s="1">
        <v>20</v>
      </c>
      <c r="C47" s="2">
        <f t="shared" si="4"/>
        <v>2.4625000000000004</v>
      </c>
      <c r="D47">
        <f t="shared" si="0"/>
        <v>2.7625000000000002</v>
      </c>
      <c r="E47" s="3">
        <v>12.5</v>
      </c>
      <c r="F47">
        <f t="shared" si="9"/>
        <v>2.4625000000000004</v>
      </c>
      <c r="G47">
        <f t="shared" si="10"/>
        <v>0.12312500000000001</v>
      </c>
      <c r="K47" s="7">
        <v>42167</v>
      </c>
      <c r="L47" s="8" t="s">
        <v>36</v>
      </c>
      <c r="M47" s="8" t="s">
        <v>63</v>
      </c>
      <c r="N47" s="8">
        <v>61</v>
      </c>
      <c r="O47" s="8" t="s">
        <v>44</v>
      </c>
      <c r="P47" s="8" t="s">
        <v>349</v>
      </c>
      <c r="Q47" s="8" t="s">
        <v>56</v>
      </c>
      <c r="U47" s="23" t="s">
        <v>236</v>
      </c>
      <c r="V47" s="1" t="s">
        <v>237</v>
      </c>
      <c r="W47" s="1" t="s">
        <v>238</v>
      </c>
      <c r="X47" s="1"/>
      <c r="Y47" s="24">
        <v>42167</v>
      </c>
      <c r="Z47" s="20">
        <v>24.5</v>
      </c>
      <c r="AA47" s="20">
        <v>13</v>
      </c>
      <c r="AB47" s="20">
        <v>18.8</v>
      </c>
      <c r="AC47" s="20"/>
      <c r="AG47" s="25"/>
      <c r="AI47" s="1"/>
      <c r="AJ47" s="1"/>
    </row>
    <row r="48" spans="1:36" ht="20">
      <c r="A48" s="1">
        <v>20150715</v>
      </c>
      <c r="B48" s="1">
        <v>11</v>
      </c>
      <c r="C48" s="2">
        <f t="shared" si="4"/>
        <v>2.4625000000000004</v>
      </c>
      <c r="D48">
        <f t="shared" si="0"/>
        <v>2.7625000000000002</v>
      </c>
      <c r="E48" s="3">
        <v>12.5</v>
      </c>
      <c r="F48">
        <f t="shared" si="9"/>
        <v>2.4625000000000004</v>
      </c>
      <c r="G48">
        <f t="shared" si="10"/>
        <v>0.2238636363636364</v>
      </c>
      <c r="K48" s="7">
        <v>42168</v>
      </c>
      <c r="L48" s="8" t="s">
        <v>29</v>
      </c>
      <c r="M48" s="8" t="s">
        <v>41</v>
      </c>
      <c r="N48" s="8">
        <v>73</v>
      </c>
      <c r="O48" s="8" t="s">
        <v>350</v>
      </c>
      <c r="P48" s="8" t="s">
        <v>351</v>
      </c>
      <c r="Q48" s="8" t="s">
        <v>35</v>
      </c>
      <c r="S48" s="2">
        <v>0.8</v>
      </c>
      <c r="U48" s="23" t="s">
        <v>236</v>
      </c>
      <c r="V48" s="1" t="s">
        <v>237</v>
      </c>
      <c r="W48" s="1" t="s">
        <v>238</v>
      </c>
      <c r="X48" s="1"/>
      <c r="Y48" s="24">
        <v>42168</v>
      </c>
      <c r="Z48" s="20">
        <v>22.5</v>
      </c>
      <c r="AA48" s="20">
        <v>13</v>
      </c>
      <c r="AB48" s="20">
        <v>17.8</v>
      </c>
      <c r="AC48" s="20"/>
      <c r="AG48" s="25"/>
      <c r="AI48" s="25"/>
      <c r="AJ48" s="1"/>
    </row>
    <row r="49" spans="1:36" ht="20">
      <c r="A49" s="1">
        <v>20150715</v>
      </c>
      <c r="B49" s="1">
        <v>9</v>
      </c>
      <c r="C49" s="2">
        <f t="shared" si="4"/>
        <v>2.4625000000000004</v>
      </c>
      <c r="D49">
        <f t="shared" si="0"/>
        <v>2.7625000000000002</v>
      </c>
      <c r="E49" s="3">
        <v>12.5</v>
      </c>
      <c r="F49">
        <f t="shared" si="9"/>
        <v>2.4625000000000004</v>
      </c>
      <c r="G49">
        <f t="shared" si="10"/>
        <v>0.27361111111111114</v>
      </c>
      <c r="K49" s="7">
        <v>42169</v>
      </c>
      <c r="L49" s="8" t="s">
        <v>36</v>
      </c>
      <c r="M49" s="8" t="s">
        <v>347</v>
      </c>
      <c r="N49" s="8">
        <v>49</v>
      </c>
      <c r="O49" s="8" t="s">
        <v>55</v>
      </c>
      <c r="P49" s="8" t="s">
        <v>352</v>
      </c>
      <c r="Q49" s="8" t="s">
        <v>40</v>
      </c>
      <c r="U49" s="23" t="s">
        <v>236</v>
      </c>
      <c r="V49" s="1" t="s">
        <v>237</v>
      </c>
      <c r="W49" s="1" t="s">
        <v>238</v>
      </c>
      <c r="X49" s="1"/>
      <c r="Y49" s="24">
        <v>42169</v>
      </c>
      <c r="Z49" s="20">
        <v>16</v>
      </c>
      <c r="AA49" s="20">
        <v>10</v>
      </c>
      <c r="AB49" s="20">
        <v>13</v>
      </c>
      <c r="AC49" s="20"/>
      <c r="AG49" s="25"/>
      <c r="AI49" s="1"/>
      <c r="AJ49" s="1"/>
    </row>
    <row r="50" spans="1:36" ht="20">
      <c r="A50" s="1">
        <v>20150715</v>
      </c>
      <c r="B50" s="1">
        <v>17</v>
      </c>
      <c r="C50" s="2">
        <f t="shared" si="4"/>
        <v>2.4625000000000004</v>
      </c>
      <c r="D50">
        <f t="shared" si="0"/>
        <v>2.7625000000000002</v>
      </c>
      <c r="E50" s="3">
        <v>12.5</v>
      </c>
      <c r="F50">
        <f t="shared" si="9"/>
        <v>2.4625000000000004</v>
      </c>
      <c r="G50">
        <f t="shared" si="10"/>
        <v>0.1448529411764706</v>
      </c>
      <c r="K50" s="7">
        <v>42170</v>
      </c>
      <c r="L50" s="8" t="s">
        <v>24</v>
      </c>
      <c r="M50" s="8" t="s">
        <v>50</v>
      </c>
      <c r="N50" s="8">
        <v>69</v>
      </c>
      <c r="O50" s="8" t="s">
        <v>350</v>
      </c>
      <c r="P50" s="8" t="s">
        <v>353</v>
      </c>
      <c r="Q50" s="8" t="s">
        <v>66</v>
      </c>
      <c r="U50" s="23" t="s">
        <v>236</v>
      </c>
      <c r="V50" s="1" t="s">
        <v>237</v>
      </c>
      <c r="W50" s="1" t="s">
        <v>238</v>
      </c>
      <c r="X50" s="1"/>
      <c r="Y50" s="24">
        <v>42170</v>
      </c>
      <c r="Z50" s="20">
        <v>13</v>
      </c>
      <c r="AA50" s="20">
        <v>9</v>
      </c>
      <c r="AB50" s="20">
        <v>11</v>
      </c>
      <c r="AC50" s="20"/>
      <c r="AG50" s="25"/>
      <c r="AI50" s="25"/>
      <c r="AJ50" s="1"/>
    </row>
    <row r="51" spans="1:36" ht="20">
      <c r="A51" s="1">
        <v>20150715</v>
      </c>
      <c r="B51" s="1">
        <v>17</v>
      </c>
      <c r="C51" s="2">
        <f t="shared" si="4"/>
        <v>2.4625000000000004</v>
      </c>
      <c r="D51">
        <f t="shared" si="0"/>
        <v>2.7625000000000002</v>
      </c>
      <c r="E51" s="3">
        <v>12.5</v>
      </c>
      <c r="F51">
        <f t="shared" si="9"/>
        <v>2.4625000000000004</v>
      </c>
      <c r="G51">
        <f t="shared" si="10"/>
        <v>0.1448529411764706</v>
      </c>
      <c r="K51" s="7">
        <v>42171</v>
      </c>
      <c r="L51" s="8" t="s">
        <v>52</v>
      </c>
      <c r="M51" s="8" t="s">
        <v>38</v>
      </c>
      <c r="N51" s="8">
        <v>56</v>
      </c>
      <c r="O51" s="8" t="s">
        <v>49</v>
      </c>
      <c r="P51" s="8" t="s">
        <v>354</v>
      </c>
      <c r="Q51" s="8" t="s">
        <v>40</v>
      </c>
      <c r="U51" s="23" t="s">
        <v>236</v>
      </c>
      <c r="V51" s="1" t="s">
        <v>237</v>
      </c>
      <c r="W51" s="1" t="s">
        <v>238</v>
      </c>
      <c r="X51" s="1"/>
      <c r="Y51" s="24">
        <v>42171</v>
      </c>
      <c r="Z51" s="20">
        <v>12.5</v>
      </c>
      <c r="AA51" s="20">
        <v>7</v>
      </c>
      <c r="AB51" s="20">
        <v>9.8000000000000007</v>
      </c>
      <c r="AC51" s="20"/>
      <c r="AG51" s="25"/>
      <c r="AI51" s="25"/>
      <c r="AJ51" s="1"/>
    </row>
    <row r="52" spans="1:36" ht="20">
      <c r="A52" s="1">
        <v>20150715</v>
      </c>
      <c r="B52" s="1">
        <v>14</v>
      </c>
      <c r="C52" s="2">
        <f t="shared" si="4"/>
        <v>2.2857000000000003</v>
      </c>
      <c r="D52">
        <f t="shared" si="0"/>
        <v>2.5857000000000001</v>
      </c>
      <c r="E52" s="3">
        <v>11.7</v>
      </c>
      <c r="F52">
        <f t="shared" si="9"/>
        <v>2.2857000000000003</v>
      </c>
      <c r="G52">
        <f t="shared" si="10"/>
        <v>0.16326428571428572</v>
      </c>
      <c r="K52" s="7">
        <v>42172</v>
      </c>
      <c r="L52" s="8" t="s">
        <v>24</v>
      </c>
      <c r="M52" s="8" t="s">
        <v>50</v>
      </c>
      <c r="N52" s="8">
        <v>74</v>
      </c>
      <c r="O52" s="8" t="s">
        <v>55</v>
      </c>
      <c r="P52" s="8" t="s">
        <v>355</v>
      </c>
      <c r="Q52" s="8" t="s">
        <v>62</v>
      </c>
      <c r="U52" s="23" t="s">
        <v>236</v>
      </c>
      <c r="V52" s="1" t="s">
        <v>237</v>
      </c>
      <c r="W52" s="1" t="s">
        <v>238</v>
      </c>
      <c r="X52" s="1"/>
      <c r="Y52" s="24">
        <v>42172</v>
      </c>
      <c r="Z52" s="20">
        <v>19</v>
      </c>
      <c r="AA52" s="20">
        <v>7</v>
      </c>
      <c r="AB52" s="20">
        <v>13</v>
      </c>
      <c r="AC52" s="20"/>
      <c r="AG52" s="25"/>
      <c r="AI52" s="25"/>
      <c r="AJ52" s="1"/>
    </row>
    <row r="53" spans="1:36" ht="20">
      <c r="A53" s="1">
        <v>20150715</v>
      </c>
      <c r="B53" s="1">
        <v>21</v>
      </c>
      <c r="C53" s="2">
        <f t="shared" si="4"/>
        <v>2.2857000000000003</v>
      </c>
      <c r="D53">
        <f t="shared" si="0"/>
        <v>2.5857000000000001</v>
      </c>
      <c r="E53" s="3">
        <v>11.7</v>
      </c>
      <c r="F53">
        <f t="shared" si="9"/>
        <v>2.2857000000000003</v>
      </c>
      <c r="G53">
        <f t="shared" si="10"/>
        <v>0.10884285714285716</v>
      </c>
      <c r="K53" s="7">
        <v>42173</v>
      </c>
      <c r="L53" s="8" t="s">
        <v>52</v>
      </c>
      <c r="M53" s="8" t="s">
        <v>347</v>
      </c>
      <c r="N53" s="8">
        <v>54</v>
      </c>
      <c r="O53" s="8" t="s">
        <v>30</v>
      </c>
      <c r="P53" s="8" t="s">
        <v>356</v>
      </c>
      <c r="Q53" s="8" t="s">
        <v>40</v>
      </c>
      <c r="U53" s="23" t="s">
        <v>236</v>
      </c>
      <c r="V53" s="1" t="s">
        <v>237</v>
      </c>
      <c r="W53" s="1" t="s">
        <v>238</v>
      </c>
      <c r="X53" s="1"/>
      <c r="Y53" s="24">
        <v>42173</v>
      </c>
      <c r="Z53" s="20">
        <v>16</v>
      </c>
      <c r="AA53" s="20">
        <v>7</v>
      </c>
      <c r="AB53" s="20">
        <v>11.5</v>
      </c>
      <c r="AC53" s="20"/>
      <c r="AG53" s="25"/>
      <c r="AI53" s="25"/>
      <c r="AJ53" s="1"/>
    </row>
    <row r="54" spans="1:36" ht="20">
      <c r="A54" s="1">
        <v>20150715</v>
      </c>
      <c r="B54" s="1">
        <v>20</v>
      </c>
      <c r="C54" s="2">
        <f t="shared" si="4"/>
        <v>2.2857000000000003</v>
      </c>
      <c r="D54">
        <f t="shared" si="0"/>
        <v>2.5857000000000001</v>
      </c>
      <c r="E54" s="3">
        <v>11.7</v>
      </c>
      <c r="F54">
        <f t="shared" si="9"/>
        <v>2.2857000000000003</v>
      </c>
      <c r="G54">
        <f t="shared" si="10"/>
        <v>0.11428500000000001</v>
      </c>
      <c r="K54" s="7">
        <v>42174</v>
      </c>
      <c r="L54" s="8" t="s">
        <v>54</v>
      </c>
      <c r="M54" s="8" t="s">
        <v>38</v>
      </c>
      <c r="N54" s="8">
        <v>45</v>
      </c>
      <c r="O54" s="8" t="s">
        <v>53</v>
      </c>
      <c r="P54" s="8" t="s">
        <v>26</v>
      </c>
      <c r="Q54" s="8" t="s">
        <v>40</v>
      </c>
      <c r="U54" s="23" t="s">
        <v>236</v>
      </c>
      <c r="V54" s="1" t="s">
        <v>237</v>
      </c>
      <c r="W54" s="1" t="s">
        <v>238</v>
      </c>
      <c r="X54" s="1"/>
      <c r="Y54" s="24">
        <v>42174</v>
      </c>
      <c r="Z54" s="20">
        <v>22</v>
      </c>
      <c r="AA54" s="20">
        <v>4</v>
      </c>
      <c r="AB54" s="20">
        <v>13</v>
      </c>
      <c r="AC54" s="20"/>
      <c r="AG54" s="25"/>
      <c r="AI54" s="25"/>
      <c r="AJ54" s="1"/>
    </row>
    <row r="55" spans="1:36" ht="20">
      <c r="A55" s="1">
        <v>20150715</v>
      </c>
      <c r="B55" s="1">
        <v>20</v>
      </c>
      <c r="C55" s="2">
        <f t="shared" si="4"/>
        <v>2.2857000000000003</v>
      </c>
      <c r="D55">
        <f t="shared" si="0"/>
        <v>2.5857000000000001</v>
      </c>
      <c r="E55" s="3">
        <v>11.7</v>
      </c>
      <c r="F55">
        <f t="shared" si="9"/>
        <v>2.2857000000000003</v>
      </c>
      <c r="G55">
        <f t="shared" si="10"/>
        <v>0.11428500000000001</v>
      </c>
      <c r="K55" s="7">
        <v>42175</v>
      </c>
      <c r="L55" s="8" t="s">
        <v>68</v>
      </c>
      <c r="M55" s="8" t="s">
        <v>41</v>
      </c>
      <c r="N55" s="8">
        <v>53</v>
      </c>
      <c r="O55" s="8" t="s">
        <v>55</v>
      </c>
      <c r="P55" s="8" t="s">
        <v>60</v>
      </c>
      <c r="Q55" s="8" t="s">
        <v>40</v>
      </c>
      <c r="U55" s="23" t="s">
        <v>236</v>
      </c>
      <c r="V55" s="1" t="s">
        <v>237</v>
      </c>
      <c r="W55" s="1" t="s">
        <v>238</v>
      </c>
      <c r="X55" s="1"/>
      <c r="Y55" s="24">
        <v>42175</v>
      </c>
      <c r="Z55" s="20">
        <v>19</v>
      </c>
      <c r="AA55" s="20">
        <v>12</v>
      </c>
      <c r="AB55" s="20">
        <v>15.5</v>
      </c>
      <c r="AC55" s="20"/>
      <c r="AG55" s="25"/>
      <c r="AI55" s="25"/>
      <c r="AJ55" s="1"/>
    </row>
    <row r="56" spans="1:36" ht="20">
      <c r="A56" s="1">
        <v>20150715</v>
      </c>
      <c r="B56" s="1">
        <v>13</v>
      </c>
      <c r="C56" s="2">
        <f t="shared" si="4"/>
        <v>2.2857000000000003</v>
      </c>
      <c r="D56">
        <f t="shared" si="0"/>
        <v>2.5857000000000001</v>
      </c>
      <c r="E56" s="3">
        <v>11.7</v>
      </c>
      <c r="F56">
        <f t="shared" si="9"/>
        <v>2.2857000000000003</v>
      </c>
      <c r="G56">
        <f t="shared" si="10"/>
        <v>0.17582307692307694</v>
      </c>
      <c r="K56" s="7">
        <v>42176</v>
      </c>
      <c r="L56" s="8" t="s">
        <v>23</v>
      </c>
      <c r="M56" s="8" t="s">
        <v>43</v>
      </c>
      <c r="N56" s="8">
        <v>41</v>
      </c>
      <c r="O56" s="8" t="s">
        <v>30</v>
      </c>
      <c r="P56" s="8" t="s">
        <v>64</v>
      </c>
      <c r="Q56" s="8" t="s">
        <v>27</v>
      </c>
      <c r="U56" s="23" t="s">
        <v>236</v>
      </c>
      <c r="V56" s="1" t="s">
        <v>237</v>
      </c>
      <c r="W56" s="1" t="s">
        <v>238</v>
      </c>
      <c r="X56" s="1"/>
      <c r="Y56" s="24">
        <v>42176</v>
      </c>
      <c r="Z56" s="20">
        <v>21</v>
      </c>
      <c r="AA56" s="20">
        <v>9</v>
      </c>
      <c r="AB56" s="20">
        <v>15</v>
      </c>
      <c r="AC56" s="20"/>
      <c r="AG56" s="25"/>
      <c r="AI56" s="25"/>
      <c r="AJ56" s="1"/>
    </row>
    <row r="57" spans="1:36" ht="20">
      <c r="A57" s="1">
        <v>20150715</v>
      </c>
      <c r="B57" s="1">
        <v>12</v>
      </c>
      <c r="C57" s="2">
        <f t="shared" si="4"/>
        <v>2.3962000000000003</v>
      </c>
      <c r="D57">
        <f t="shared" si="0"/>
        <v>2.6962000000000002</v>
      </c>
      <c r="E57" s="3">
        <v>12.2</v>
      </c>
      <c r="F57">
        <f t="shared" si="9"/>
        <v>2.3962000000000003</v>
      </c>
      <c r="G57">
        <f t="shared" si="10"/>
        <v>0.19968333333333335</v>
      </c>
      <c r="K57" s="7">
        <v>42177</v>
      </c>
      <c r="L57" s="8" t="s">
        <v>28</v>
      </c>
      <c r="M57" s="8" t="s">
        <v>43</v>
      </c>
      <c r="N57" s="8">
        <v>40</v>
      </c>
      <c r="O57" s="8" t="s">
        <v>53</v>
      </c>
      <c r="P57" s="8" t="s">
        <v>69</v>
      </c>
      <c r="Q57" s="8" t="s">
        <v>40</v>
      </c>
      <c r="U57" s="23" t="s">
        <v>236</v>
      </c>
      <c r="V57" s="1" t="s">
        <v>237</v>
      </c>
      <c r="W57" s="1" t="s">
        <v>238</v>
      </c>
      <c r="X57" s="1"/>
      <c r="Y57" s="24">
        <v>42177</v>
      </c>
      <c r="Z57" s="20">
        <v>17</v>
      </c>
      <c r="AA57" s="20">
        <v>10</v>
      </c>
      <c r="AB57" s="20">
        <v>13.5</v>
      </c>
      <c r="AC57" s="20"/>
      <c r="AG57" s="25"/>
      <c r="AI57" s="25"/>
      <c r="AJ57" s="1"/>
    </row>
    <row r="58" spans="1:36" ht="20">
      <c r="A58" s="1">
        <v>20150715</v>
      </c>
      <c r="B58" s="1">
        <v>3</v>
      </c>
      <c r="C58" s="2">
        <f t="shared" si="4"/>
        <v>2.3962000000000003</v>
      </c>
      <c r="D58">
        <f t="shared" si="0"/>
        <v>2.6962000000000002</v>
      </c>
      <c r="E58" s="3">
        <v>12.2</v>
      </c>
      <c r="F58">
        <f t="shared" si="9"/>
        <v>2.3962000000000003</v>
      </c>
      <c r="G58">
        <f t="shared" si="10"/>
        <v>0.79873333333333341</v>
      </c>
      <c r="K58" s="7">
        <v>42178</v>
      </c>
      <c r="L58" s="8" t="s">
        <v>357</v>
      </c>
      <c r="M58" s="8" t="s">
        <v>50</v>
      </c>
      <c r="N58" s="8">
        <v>39</v>
      </c>
      <c r="O58" s="8" t="s">
        <v>33</v>
      </c>
      <c r="P58" s="8" t="s">
        <v>47</v>
      </c>
      <c r="Q58" s="8" t="s">
        <v>40</v>
      </c>
      <c r="U58" s="23" t="s">
        <v>236</v>
      </c>
      <c r="V58" s="1" t="s">
        <v>237</v>
      </c>
      <c r="W58" s="1" t="s">
        <v>238</v>
      </c>
      <c r="X58" s="1"/>
      <c r="Y58" s="24">
        <v>42178</v>
      </c>
      <c r="Z58" s="20">
        <v>22</v>
      </c>
      <c r="AA58" s="20">
        <v>7</v>
      </c>
      <c r="AB58" s="20">
        <v>14.5</v>
      </c>
      <c r="AC58" s="20"/>
      <c r="AG58" s="25"/>
      <c r="AI58" s="25"/>
      <c r="AJ58" s="1"/>
    </row>
    <row r="59" spans="1:36" ht="20">
      <c r="A59" s="1">
        <v>20150715</v>
      </c>
      <c r="B59" s="1">
        <v>18</v>
      </c>
      <c r="C59" s="2">
        <f t="shared" si="4"/>
        <v>2.3962000000000003</v>
      </c>
      <c r="D59">
        <f t="shared" si="0"/>
        <v>2.6962000000000002</v>
      </c>
      <c r="E59" s="3">
        <v>12.2</v>
      </c>
      <c r="F59">
        <f t="shared" si="9"/>
        <v>2.3962000000000003</v>
      </c>
      <c r="G59">
        <f t="shared" si="10"/>
        <v>0.13312222222222225</v>
      </c>
      <c r="K59" s="7">
        <v>42179</v>
      </c>
      <c r="L59" s="8" t="s">
        <v>28</v>
      </c>
      <c r="M59" s="8" t="s">
        <v>38</v>
      </c>
      <c r="N59" s="8">
        <v>37</v>
      </c>
      <c r="O59" s="8" t="s">
        <v>53</v>
      </c>
      <c r="P59" s="8" t="s">
        <v>69</v>
      </c>
      <c r="Q59" s="8" t="s">
        <v>51</v>
      </c>
      <c r="U59" s="23" t="s">
        <v>236</v>
      </c>
      <c r="V59" s="1" t="s">
        <v>237</v>
      </c>
      <c r="W59" s="1" t="s">
        <v>238</v>
      </c>
      <c r="X59" s="1"/>
      <c r="Y59" s="24">
        <v>42179</v>
      </c>
      <c r="Z59" s="20">
        <v>25</v>
      </c>
      <c r="AA59" s="20">
        <v>13</v>
      </c>
      <c r="AB59" s="20">
        <v>19</v>
      </c>
      <c r="AC59" s="20"/>
      <c r="AG59" s="25"/>
      <c r="AI59" s="25"/>
      <c r="AJ59" s="1"/>
    </row>
    <row r="60" spans="1:36" ht="20">
      <c r="A60" s="1">
        <v>20150715</v>
      </c>
      <c r="B60" s="1">
        <v>14</v>
      </c>
      <c r="C60" s="2">
        <f t="shared" si="4"/>
        <v>2.3962000000000003</v>
      </c>
      <c r="D60">
        <f t="shared" si="0"/>
        <v>2.6962000000000002</v>
      </c>
      <c r="E60" s="3">
        <v>12.2</v>
      </c>
      <c r="F60">
        <f t="shared" si="9"/>
        <v>2.3962000000000003</v>
      </c>
      <c r="G60">
        <f t="shared" si="10"/>
        <v>0.17115714285714287</v>
      </c>
      <c r="K60" s="7">
        <v>42180</v>
      </c>
      <c r="L60" s="8" t="s">
        <v>358</v>
      </c>
      <c r="M60" s="8" t="s">
        <v>63</v>
      </c>
      <c r="N60" s="8">
        <v>38</v>
      </c>
      <c r="O60" s="8" t="s">
        <v>39</v>
      </c>
      <c r="P60" s="8" t="s">
        <v>59</v>
      </c>
      <c r="Q60" s="8" t="s">
        <v>40</v>
      </c>
      <c r="U60" s="23" t="s">
        <v>236</v>
      </c>
      <c r="V60" s="1" t="s">
        <v>237</v>
      </c>
      <c r="W60" s="1" t="s">
        <v>238</v>
      </c>
      <c r="X60" s="1"/>
      <c r="Y60" s="24">
        <v>42180</v>
      </c>
      <c r="Z60" s="20">
        <v>22</v>
      </c>
      <c r="AA60" s="20">
        <v>9</v>
      </c>
      <c r="AB60" s="20">
        <v>15.5</v>
      </c>
      <c r="AC60" s="20"/>
      <c r="AG60" s="25"/>
      <c r="AI60" s="25"/>
      <c r="AJ60" s="1"/>
    </row>
    <row r="61" spans="1:36" ht="20">
      <c r="A61" s="1">
        <v>20150715</v>
      </c>
      <c r="B61" s="1">
        <v>14</v>
      </c>
      <c r="C61" s="2">
        <f t="shared" si="4"/>
        <v>2.3962000000000003</v>
      </c>
      <c r="D61">
        <f t="shared" si="0"/>
        <v>2.6962000000000002</v>
      </c>
      <c r="E61" s="3">
        <v>12.2</v>
      </c>
      <c r="F61">
        <f t="shared" si="9"/>
        <v>2.3962000000000003</v>
      </c>
      <c r="G61">
        <f t="shared" si="10"/>
        <v>0.17115714285714287</v>
      </c>
      <c r="K61" s="7">
        <v>42181</v>
      </c>
      <c r="L61" s="8" t="s">
        <v>359</v>
      </c>
      <c r="M61" s="8" t="s">
        <v>57</v>
      </c>
      <c r="N61" s="8">
        <v>40</v>
      </c>
      <c r="O61" s="8" t="s">
        <v>360</v>
      </c>
      <c r="P61" s="8" t="s">
        <v>361</v>
      </c>
      <c r="Q61" s="8" t="s">
        <v>40</v>
      </c>
      <c r="U61" s="23" t="s">
        <v>236</v>
      </c>
      <c r="V61" s="1" t="s">
        <v>237</v>
      </c>
      <c r="W61" s="1" t="s">
        <v>238</v>
      </c>
      <c r="X61" s="1"/>
      <c r="Y61" s="24">
        <v>42181</v>
      </c>
      <c r="Z61" s="20">
        <v>24</v>
      </c>
      <c r="AA61" s="20">
        <v>14</v>
      </c>
      <c r="AB61" s="20">
        <v>19</v>
      </c>
      <c r="AC61" s="20"/>
      <c r="AG61" s="25"/>
      <c r="AI61" s="25"/>
      <c r="AJ61" s="1"/>
    </row>
    <row r="62" spans="1:36" ht="20">
      <c r="A62" s="1">
        <v>20150715</v>
      </c>
      <c r="B62" s="1">
        <v>21</v>
      </c>
      <c r="C62" s="2">
        <f t="shared" si="4"/>
        <v>1.5785000000000002</v>
      </c>
      <c r="D62">
        <f t="shared" si="0"/>
        <v>1.8785000000000003</v>
      </c>
      <c r="E62" s="3">
        <v>8.5</v>
      </c>
      <c r="F62">
        <f t="shared" si="9"/>
        <v>1.5785000000000002</v>
      </c>
      <c r="G62">
        <f t="shared" si="10"/>
        <v>7.5166666666666673E-2</v>
      </c>
      <c r="K62" s="7">
        <v>42182</v>
      </c>
      <c r="L62" s="8" t="s">
        <v>362</v>
      </c>
      <c r="M62" s="8" t="s">
        <v>24</v>
      </c>
      <c r="N62" s="8">
        <v>61</v>
      </c>
      <c r="O62" s="8" t="s">
        <v>30</v>
      </c>
      <c r="P62" s="8" t="s">
        <v>59</v>
      </c>
      <c r="Q62" s="8" t="s">
        <v>363</v>
      </c>
      <c r="U62" s="23" t="s">
        <v>236</v>
      </c>
      <c r="V62" s="1" t="s">
        <v>237</v>
      </c>
      <c r="W62" s="1" t="s">
        <v>238</v>
      </c>
      <c r="X62" s="1"/>
      <c r="Y62" s="24">
        <v>42182</v>
      </c>
      <c r="Z62" s="20">
        <v>24</v>
      </c>
      <c r="AA62" s="20">
        <v>12</v>
      </c>
      <c r="AB62" s="20">
        <v>18</v>
      </c>
      <c r="AC62" s="20"/>
      <c r="AG62" s="25"/>
      <c r="AI62" s="25"/>
      <c r="AJ62" s="1"/>
    </row>
    <row r="63" spans="1:36" ht="20">
      <c r="A63" s="1">
        <v>20150715</v>
      </c>
      <c r="B63" s="1">
        <v>17</v>
      </c>
      <c r="C63" s="2">
        <f t="shared" si="4"/>
        <v>1.5785000000000002</v>
      </c>
      <c r="D63">
        <f t="shared" si="0"/>
        <v>1.8785000000000003</v>
      </c>
      <c r="E63" s="3">
        <v>8.5</v>
      </c>
      <c r="F63">
        <f t="shared" si="9"/>
        <v>1.5785000000000002</v>
      </c>
      <c r="G63">
        <f t="shared" si="10"/>
        <v>9.2852941176470596E-2</v>
      </c>
      <c r="K63" s="7">
        <v>42183</v>
      </c>
      <c r="L63" s="8" t="s">
        <v>54</v>
      </c>
      <c r="M63" s="8" t="s">
        <v>24</v>
      </c>
      <c r="N63" s="8">
        <v>69</v>
      </c>
      <c r="O63" s="8" t="s">
        <v>58</v>
      </c>
      <c r="P63" s="8" t="s">
        <v>69</v>
      </c>
      <c r="Q63" s="8" t="s">
        <v>40</v>
      </c>
      <c r="U63" s="23" t="s">
        <v>236</v>
      </c>
      <c r="V63" s="1" t="s">
        <v>237</v>
      </c>
      <c r="W63" s="1" t="s">
        <v>238</v>
      </c>
      <c r="X63" s="1"/>
      <c r="Y63" s="24">
        <v>42183</v>
      </c>
      <c r="Z63" s="20">
        <v>28</v>
      </c>
      <c r="AA63" s="20">
        <v>16</v>
      </c>
      <c r="AB63" s="20">
        <v>22</v>
      </c>
      <c r="AC63" s="20"/>
      <c r="AG63" s="25"/>
      <c r="AI63" s="25"/>
      <c r="AJ63" s="1"/>
    </row>
    <row r="64" spans="1:36" ht="20">
      <c r="A64" s="1">
        <v>20150715</v>
      </c>
      <c r="B64" s="1">
        <v>15</v>
      </c>
      <c r="C64" s="2">
        <f t="shared" si="4"/>
        <v>1.5785000000000002</v>
      </c>
      <c r="D64">
        <f t="shared" si="0"/>
        <v>1.8785000000000003</v>
      </c>
      <c r="E64" s="3">
        <v>8.5</v>
      </c>
      <c r="F64">
        <f t="shared" si="9"/>
        <v>1.5785000000000002</v>
      </c>
      <c r="G64">
        <f t="shared" si="10"/>
        <v>0.10523333333333335</v>
      </c>
      <c r="K64" s="7">
        <v>42184</v>
      </c>
      <c r="L64" s="8" t="s">
        <v>362</v>
      </c>
      <c r="M64" s="8" t="s">
        <v>57</v>
      </c>
      <c r="N64" s="8">
        <v>55</v>
      </c>
      <c r="O64" s="8" t="s">
        <v>39</v>
      </c>
      <c r="P64" s="8" t="s">
        <v>26</v>
      </c>
      <c r="Q64" s="8" t="s">
        <v>40</v>
      </c>
      <c r="U64" s="23" t="s">
        <v>236</v>
      </c>
      <c r="V64" s="1" t="s">
        <v>237</v>
      </c>
      <c r="W64" s="1" t="s">
        <v>238</v>
      </c>
      <c r="X64" s="1"/>
      <c r="Y64" s="24">
        <v>42184</v>
      </c>
      <c r="Z64" s="20">
        <v>24</v>
      </c>
      <c r="AA64" s="20">
        <v>15</v>
      </c>
      <c r="AB64" s="20">
        <v>19.5</v>
      </c>
      <c r="AC64" s="20"/>
      <c r="AD64" s="1"/>
      <c r="AE64" s="25"/>
      <c r="AF64" s="1"/>
      <c r="AG64" s="25"/>
      <c r="AI64" s="25"/>
      <c r="AJ64" s="1"/>
    </row>
    <row r="65" spans="1:29" ht="20">
      <c r="A65" s="1">
        <v>20150715</v>
      </c>
      <c r="B65" s="1">
        <v>13</v>
      </c>
      <c r="C65" s="2">
        <f t="shared" si="4"/>
        <v>1.5785000000000002</v>
      </c>
      <c r="D65">
        <f t="shared" si="0"/>
        <v>1.8785000000000003</v>
      </c>
      <c r="E65" s="3">
        <v>8.5</v>
      </c>
      <c r="F65">
        <f t="shared" si="9"/>
        <v>1.5785000000000002</v>
      </c>
      <c r="G65">
        <f t="shared" si="10"/>
        <v>0.12142307692307694</v>
      </c>
      <c r="K65" s="7">
        <v>42185</v>
      </c>
      <c r="L65" s="8" t="s">
        <v>36</v>
      </c>
      <c r="M65" s="8" t="s">
        <v>48</v>
      </c>
      <c r="N65" s="8">
        <v>78</v>
      </c>
      <c r="O65" s="8" t="s">
        <v>53</v>
      </c>
      <c r="P65" s="8" t="s">
        <v>26</v>
      </c>
      <c r="Q65" s="8" t="s">
        <v>364</v>
      </c>
      <c r="U65" s="23" t="s">
        <v>236</v>
      </c>
      <c r="V65" s="1" t="s">
        <v>237</v>
      </c>
      <c r="W65" s="1" t="s">
        <v>238</v>
      </c>
      <c r="X65" s="1"/>
      <c r="Y65" s="24">
        <v>42185</v>
      </c>
      <c r="Z65" s="20">
        <v>20</v>
      </c>
      <c r="AA65" s="20">
        <v>14</v>
      </c>
      <c r="AB65" s="20">
        <v>17</v>
      </c>
      <c r="AC65" s="20"/>
    </row>
    <row r="66" spans="1:29">
      <c r="A66" s="1">
        <v>20150715</v>
      </c>
      <c r="B66" s="1">
        <v>14</v>
      </c>
      <c r="C66" s="2">
        <f t="shared" si="4"/>
        <v>1.5785000000000002</v>
      </c>
      <c r="D66">
        <f t="shared" ref="D66:D129" si="11">0.17*($H$2/12)*E66</f>
        <v>1.8785000000000003</v>
      </c>
      <c r="E66" s="3">
        <v>8.5</v>
      </c>
      <c r="F66">
        <f t="shared" si="9"/>
        <v>1.5785000000000002</v>
      </c>
      <c r="G66">
        <f t="shared" si="10"/>
        <v>0.11275000000000002</v>
      </c>
    </row>
    <row r="67" spans="1:29">
      <c r="A67" s="1">
        <v>20150715</v>
      </c>
      <c r="B67" s="1">
        <v>34</v>
      </c>
      <c r="C67" s="2">
        <f t="shared" ref="C67:C121" si="12">D67-$S$17</f>
        <v>1.5122</v>
      </c>
      <c r="D67">
        <f t="shared" si="11"/>
        <v>1.8122</v>
      </c>
      <c r="E67" s="3">
        <v>8.1999999999999993</v>
      </c>
      <c r="F67">
        <f t="shared" si="9"/>
        <v>1.5122</v>
      </c>
      <c r="G67">
        <f t="shared" si="10"/>
        <v>4.4476470588235291E-2</v>
      </c>
    </row>
    <row r="68" spans="1:29">
      <c r="A68" s="1">
        <v>20150715</v>
      </c>
      <c r="B68" s="1">
        <v>17</v>
      </c>
      <c r="C68" s="2">
        <f t="shared" si="12"/>
        <v>1.5122</v>
      </c>
      <c r="D68">
        <f t="shared" si="11"/>
        <v>1.8122</v>
      </c>
      <c r="E68" s="3">
        <v>8.1999999999999993</v>
      </c>
      <c r="F68">
        <f t="shared" si="9"/>
        <v>1.5122</v>
      </c>
      <c r="G68">
        <f t="shared" si="10"/>
        <v>8.8952941176470582E-2</v>
      </c>
    </row>
    <row r="69" spans="1:29">
      <c r="A69" s="1">
        <v>20150715</v>
      </c>
      <c r="B69" s="1">
        <v>14</v>
      </c>
      <c r="C69" s="2">
        <f t="shared" si="12"/>
        <v>1.5122</v>
      </c>
      <c r="D69">
        <f t="shared" si="11"/>
        <v>1.8122</v>
      </c>
      <c r="E69" s="3">
        <v>8.1999999999999993</v>
      </c>
      <c r="F69">
        <f t="shared" si="9"/>
        <v>1.5122</v>
      </c>
      <c r="G69">
        <f t="shared" si="10"/>
        <v>0.10801428571428572</v>
      </c>
    </row>
    <row r="70" spans="1:29">
      <c r="A70" s="1">
        <v>20150715</v>
      </c>
      <c r="B70" s="1">
        <v>11</v>
      </c>
      <c r="C70" s="2">
        <f t="shared" si="12"/>
        <v>1.5122</v>
      </c>
      <c r="D70">
        <f t="shared" si="11"/>
        <v>1.8122</v>
      </c>
      <c r="E70" s="3">
        <v>8.1999999999999993</v>
      </c>
      <c r="F70">
        <f t="shared" si="9"/>
        <v>1.5122</v>
      </c>
      <c r="G70">
        <f t="shared" si="10"/>
        <v>0.13747272727272727</v>
      </c>
    </row>
    <row r="71" spans="1:29">
      <c r="A71" s="1">
        <v>20150715</v>
      </c>
      <c r="B71" s="1">
        <v>42</v>
      </c>
      <c r="C71" s="2">
        <f t="shared" si="12"/>
        <v>1.5122</v>
      </c>
      <c r="D71">
        <f t="shared" si="11"/>
        <v>1.8122</v>
      </c>
      <c r="E71" s="3">
        <v>8.1999999999999993</v>
      </c>
      <c r="F71">
        <f t="shared" si="9"/>
        <v>1.5122</v>
      </c>
      <c r="G71">
        <f t="shared" si="10"/>
        <v>3.6004761904761907E-2</v>
      </c>
    </row>
    <row r="72" spans="1:29">
      <c r="A72" s="1">
        <v>20150715</v>
      </c>
      <c r="B72" s="1">
        <v>20</v>
      </c>
      <c r="C72" s="2">
        <f t="shared" si="12"/>
        <v>1.7331999999999999</v>
      </c>
      <c r="D72">
        <f t="shared" si="11"/>
        <v>2.0331999999999999</v>
      </c>
      <c r="E72" s="3">
        <v>9.1999999999999993</v>
      </c>
      <c r="F72">
        <f t="shared" si="9"/>
        <v>1.7331999999999999</v>
      </c>
      <c r="G72">
        <f t="shared" si="10"/>
        <v>8.6659999999999987E-2</v>
      </c>
    </row>
    <row r="73" spans="1:29">
      <c r="A73" s="1">
        <v>20150715</v>
      </c>
      <c r="B73" s="1">
        <v>6</v>
      </c>
      <c r="C73" s="2">
        <f t="shared" si="12"/>
        <v>1.7331999999999999</v>
      </c>
      <c r="D73">
        <f t="shared" si="11"/>
        <v>2.0331999999999999</v>
      </c>
      <c r="E73" s="3">
        <v>9.1999999999999993</v>
      </c>
      <c r="F73">
        <f t="shared" si="9"/>
        <v>1.7331999999999999</v>
      </c>
      <c r="G73">
        <f t="shared" si="10"/>
        <v>0.28886666666666666</v>
      </c>
    </row>
    <row r="74" spans="1:29">
      <c r="A74" s="1">
        <v>20150715</v>
      </c>
      <c r="B74" s="1">
        <v>8</v>
      </c>
      <c r="C74" s="2">
        <f t="shared" si="12"/>
        <v>1.7331999999999999</v>
      </c>
      <c r="D74">
        <f t="shared" si="11"/>
        <v>2.0331999999999999</v>
      </c>
      <c r="E74" s="3">
        <v>9.1999999999999993</v>
      </c>
      <c r="F74">
        <f t="shared" si="9"/>
        <v>1.7331999999999999</v>
      </c>
      <c r="G74">
        <f t="shared" si="10"/>
        <v>0.21664999999999998</v>
      </c>
    </row>
    <row r="75" spans="1:29">
      <c r="A75" s="1">
        <v>20150715</v>
      </c>
      <c r="B75" s="1">
        <v>9</v>
      </c>
      <c r="C75" s="2">
        <f t="shared" si="12"/>
        <v>1.7331999999999999</v>
      </c>
      <c r="D75">
        <f t="shared" si="11"/>
        <v>2.0331999999999999</v>
      </c>
      <c r="E75" s="3">
        <v>9.1999999999999993</v>
      </c>
      <c r="F75">
        <f t="shared" si="9"/>
        <v>1.7331999999999999</v>
      </c>
      <c r="G75">
        <f t="shared" si="10"/>
        <v>0.19257777777777776</v>
      </c>
    </row>
    <row r="76" spans="1:29">
      <c r="A76" s="1">
        <v>20150715</v>
      </c>
      <c r="B76" s="1">
        <v>13</v>
      </c>
      <c r="C76" s="2">
        <f t="shared" si="12"/>
        <v>1.7331999999999999</v>
      </c>
      <c r="D76">
        <f t="shared" si="11"/>
        <v>2.0331999999999999</v>
      </c>
      <c r="E76" s="3">
        <v>9.1999999999999993</v>
      </c>
      <c r="F76">
        <f t="shared" si="9"/>
        <v>1.7331999999999999</v>
      </c>
      <c r="G76">
        <f t="shared" si="10"/>
        <v>0.13332307692307691</v>
      </c>
    </row>
    <row r="77" spans="1:29">
      <c r="A77" s="1">
        <v>20150715</v>
      </c>
      <c r="B77" s="1">
        <v>38</v>
      </c>
      <c r="C77" s="2">
        <f t="shared" si="12"/>
        <v>2.4625000000000004</v>
      </c>
      <c r="D77">
        <f t="shared" si="11"/>
        <v>2.7625000000000002</v>
      </c>
      <c r="E77" s="3">
        <v>12.5</v>
      </c>
      <c r="F77">
        <f t="shared" si="9"/>
        <v>2.4625000000000004</v>
      </c>
      <c r="G77">
        <f t="shared" si="10"/>
        <v>6.4802631578947376E-2</v>
      </c>
    </row>
    <row r="78" spans="1:29">
      <c r="A78" s="1">
        <v>20150715</v>
      </c>
      <c r="B78" s="1">
        <v>20</v>
      </c>
      <c r="C78" s="2">
        <f t="shared" si="12"/>
        <v>2.4625000000000004</v>
      </c>
      <c r="D78">
        <f t="shared" si="11"/>
        <v>2.7625000000000002</v>
      </c>
      <c r="E78" s="3">
        <v>12.5</v>
      </c>
      <c r="F78">
        <f t="shared" si="9"/>
        <v>2.4625000000000004</v>
      </c>
      <c r="G78">
        <f t="shared" si="10"/>
        <v>0.12312500000000001</v>
      </c>
    </row>
    <row r="79" spans="1:29">
      <c r="A79" s="1">
        <v>20150715</v>
      </c>
      <c r="B79" s="1">
        <v>32</v>
      </c>
      <c r="C79" s="2">
        <f t="shared" si="12"/>
        <v>2.4625000000000004</v>
      </c>
      <c r="D79">
        <f t="shared" si="11"/>
        <v>2.7625000000000002</v>
      </c>
      <c r="E79" s="3">
        <v>12.5</v>
      </c>
      <c r="F79">
        <f t="shared" si="9"/>
        <v>2.4625000000000004</v>
      </c>
      <c r="G79">
        <f t="shared" si="10"/>
        <v>7.6953125000000011E-2</v>
      </c>
    </row>
    <row r="80" spans="1:29">
      <c r="A80" s="1">
        <v>20150715</v>
      </c>
      <c r="B80" s="1">
        <v>27</v>
      </c>
      <c r="C80" s="2">
        <f t="shared" si="12"/>
        <v>2.4625000000000004</v>
      </c>
      <c r="D80">
        <f t="shared" si="11"/>
        <v>2.7625000000000002</v>
      </c>
      <c r="E80" s="3">
        <v>12.5</v>
      </c>
      <c r="F80">
        <f t="shared" si="9"/>
        <v>2.4625000000000004</v>
      </c>
      <c r="G80">
        <f t="shared" si="10"/>
        <v>9.1203703703703717E-2</v>
      </c>
    </row>
    <row r="81" spans="1:7">
      <c r="A81" s="1">
        <v>20150715</v>
      </c>
      <c r="B81" s="1">
        <v>33</v>
      </c>
      <c r="C81" s="2">
        <f t="shared" si="12"/>
        <v>2.4625000000000004</v>
      </c>
      <c r="D81">
        <f t="shared" si="11"/>
        <v>2.7625000000000002</v>
      </c>
      <c r="E81" s="3">
        <v>12.5</v>
      </c>
      <c r="F81">
        <f t="shared" si="9"/>
        <v>2.4625000000000004</v>
      </c>
      <c r="G81">
        <f t="shared" si="10"/>
        <v>7.462121212121213E-2</v>
      </c>
    </row>
    <row r="82" spans="1:7">
      <c r="A82" s="1">
        <v>20150715</v>
      </c>
      <c r="B82" s="1">
        <v>18</v>
      </c>
      <c r="C82" s="2">
        <f t="shared" si="12"/>
        <v>2.2857000000000003</v>
      </c>
      <c r="D82">
        <f t="shared" si="11"/>
        <v>2.5857000000000001</v>
      </c>
      <c r="E82" s="3">
        <v>11.7</v>
      </c>
      <c r="F82">
        <f t="shared" si="9"/>
        <v>2.2857000000000003</v>
      </c>
      <c r="G82">
        <f t="shared" si="10"/>
        <v>0.12698333333333334</v>
      </c>
    </row>
    <row r="83" spans="1:7">
      <c r="A83" s="1">
        <v>20150715</v>
      </c>
      <c r="B83" s="1">
        <v>16</v>
      </c>
      <c r="C83" s="2">
        <f t="shared" si="12"/>
        <v>2.2857000000000003</v>
      </c>
      <c r="D83">
        <f t="shared" si="11"/>
        <v>2.5857000000000001</v>
      </c>
      <c r="E83" s="3">
        <v>11.7</v>
      </c>
      <c r="F83">
        <f t="shared" si="9"/>
        <v>2.2857000000000003</v>
      </c>
      <c r="G83">
        <f t="shared" si="10"/>
        <v>0.14285625000000002</v>
      </c>
    </row>
    <row r="84" spans="1:7">
      <c r="A84" s="1">
        <v>20150715</v>
      </c>
      <c r="B84" s="1">
        <v>26</v>
      </c>
      <c r="C84" s="2">
        <f t="shared" si="12"/>
        <v>2.2857000000000003</v>
      </c>
      <c r="D84">
        <f t="shared" si="11"/>
        <v>2.5857000000000001</v>
      </c>
      <c r="E84" s="3">
        <v>11.7</v>
      </c>
      <c r="F84">
        <f t="shared" si="9"/>
        <v>2.2857000000000003</v>
      </c>
      <c r="G84">
        <f t="shared" si="10"/>
        <v>8.7911538461538472E-2</v>
      </c>
    </row>
    <row r="85" spans="1:7">
      <c r="A85" s="1">
        <v>20150715</v>
      </c>
      <c r="B85" s="1">
        <v>23</v>
      </c>
      <c r="C85" s="2">
        <f t="shared" si="12"/>
        <v>2.2857000000000003</v>
      </c>
      <c r="D85">
        <f t="shared" si="11"/>
        <v>2.5857000000000001</v>
      </c>
      <c r="E85" s="3">
        <v>11.7</v>
      </c>
      <c r="F85">
        <f t="shared" si="9"/>
        <v>2.2857000000000003</v>
      </c>
      <c r="G85">
        <f t="shared" si="10"/>
        <v>9.9378260869565235E-2</v>
      </c>
    </row>
    <row r="86" spans="1:7">
      <c r="A86" s="1">
        <v>20150715</v>
      </c>
      <c r="B86" s="1">
        <v>14</v>
      </c>
      <c r="C86" s="2">
        <f t="shared" si="12"/>
        <v>2.2857000000000003</v>
      </c>
      <c r="D86">
        <f t="shared" si="11"/>
        <v>2.5857000000000001</v>
      </c>
      <c r="E86" s="3">
        <v>11.7</v>
      </c>
      <c r="F86">
        <f t="shared" si="9"/>
        <v>2.2857000000000003</v>
      </c>
      <c r="G86">
        <f t="shared" si="10"/>
        <v>0.16326428571428572</v>
      </c>
    </row>
    <row r="87" spans="1:7">
      <c r="A87" s="1">
        <v>20150715</v>
      </c>
      <c r="B87" s="1">
        <v>8</v>
      </c>
      <c r="C87" s="2">
        <f t="shared" si="12"/>
        <v>2.3962000000000003</v>
      </c>
      <c r="D87">
        <f t="shared" si="11"/>
        <v>2.6962000000000002</v>
      </c>
      <c r="E87" s="3">
        <v>12.2</v>
      </c>
      <c r="F87">
        <f t="shared" si="9"/>
        <v>2.3962000000000003</v>
      </c>
      <c r="G87">
        <f t="shared" si="10"/>
        <v>0.29952500000000004</v>
      </c>
    </row>
    <row r="88" spans="1:7">
      <c r="A88" s="1">
        <v>20150715</v>
      </c>
      <c r="B88" s="1">
        <v>15</v>
      </c>
      <c r="C88" s="2">
        <f t="shared" si="12"/>
        <v>2.3962000000000003</v>
      </c>
      <c r="D88">
        <f t="shared" si="11"/>
        <v>2.6962000000000002</v>
      </c>
      <c r="E88" s="3">
        <v>12.2</v>
      </c>
      <c r="F88">
        <f t="shared" si="9"/>
        <v>2.3962000000000003</v>
      </c>
      <c r="G88">
        <f t="shared" si="10"/>
        <v>0.15974666666666668</v>
      </c>
    </row>
    <row r="89" spans="1:7">
      <c r="A89" s="1">
        <v>20150715</v>
      </c>
      <c r="B89" s="1">
        <v>10</v>
      </c>
      <c r="C89" s="2">
        <f t="shared" si="12"/>
        <v>2.3962000000000003</v>
      </c>
      <c r="D89">
        <f t="shared" si="11"/>
        <v>2.6962000000000002</v>
      </c>
      <c r="E89" s="3">
        <v>12.2</v>
      </c>
      <c r="F89">
        <f t="shared" si="9"/>
        <v>2.3962000000000003</v>
      </c>
      <c r="G89">
        <f t="shared" si="10"/>
        <v>0.23962000000000003</v>
      </c>
    </row>
    <row r="90" spans="1:7">
      <c r="A90" s="1">
        <v>20150715</v>
      </c>
      <c r="B90" s="1">
        <v>21</v>
      </c>
      <c r="C90" s="2">
        <f t="shared" si="12"/>
        <v>2.3962000000000003</v>
      </c>
      <c r="D90">
        <f t="shared" si="11"/>
        <v>2.6962000000000002</v>
      </c>
      <c r="E90" s="3">
        <v>12.2</v>
      </c>
      <c r="F90">
        <f t="shared" si="9"/>
        <v>2.3962000000000003</v>
      </c>
      <c r="G90">
        <f t="shared" si="10"/>
        <v>0.11410476190476192</v>
      </c>
    </row>
    <row r="91" spans="1:7">
      <c r="A91" s="1">
        <v>20150715</v>
      </c>
      <c r="B91" s="1">
        <v>11</v>
      </c>
      <c r="C91" s="2">
        <f t="shared" si="12"/>
        <v>2.3962000000000003</v>
      </c>
      <c r="D91">
        <f t="shared" si="11"/>
        <v>2.6962000000000002</v>
      </c>
      <c r="E91" s="3">
        <v>12.2</v>
      </c>
      <c r="F91">
        <f t="shared" si="9"/>
        <v>2.3962000000000003</v>
      </c>
      <c r="G91">
        <f t="shared" si="10"/>
        <v>0.21783636363636366</v>
      </c>
    </row>
    <row r="92" spans="1:7">
      <c r="A92" s="1">
        <v>20150715</v>
      </c>
      <c r="B92" s="1">
        <v>31</v>
      </c>
      <c r="C92" s="2">
        <f t="shared" si="12"/>
        <v>1.5785000000000002</v>
      </c>
      <c r="D92">
        <f t="shared" si="11"/>
        <v>1.8785000000000003</v>
      </c>
      <c r="E92" s="3">
        <v>8.5</v>
      </c>
      <c r="F92">
        <f t="shared" si="9"/>
        <v>1.5785000000000002</v>
      </c>
      <c r="G92">
        <f t="shared" si="10"/>
        <v>5.0919354838709685E-2</v>
      </c>
    </row>
    <row r="93" spans="1:7">
      <c r="A93" s="1">
        <v>20150715</v>
      </c>
      <c r="B93" s="1">
        <v>28</v>
      </c>
      <c r="C93" s="2">
        <f t="shared" si="12"/>
        <v>1.5785000000000002</v>
      </c>
      <c r="D93">
        <f t="shared" si="11"/>
        <v>1.8785000000000003</v>
      </c>
      <c r="E93" s="3">
        <v>8.5</v>
      </c>
      <c r="F93">
        <f t="shared" si="9"/>
        <v>1.5785000000000002</v>
      </c>
      <c r="G93">
        <f t="shared" si="10"/>
        <v>5.6375000000000008E-2</v>
      </c>
    </row>
    <row r="94" spans="1:7">
      <c r="A94" s="1">
        <v>20150715</v>
      </c>
      <c r="B94" s="1">
        <v>18</v>
      </c>
      <c r="C94" s="2">
        <f t="shared" si="12"/>
        <v>1.5785000000000002</v>
      </c>
      <c r="D94">
        <f t="shared" si="11"/>
        <v>1.8785000000000003</v>
      </c>
      <c r="E94" s="3">
        <v>8.5</v>
      </c>
      <c r="F94">
        <f t="shared" si="9"/>
        <v>1.5785000000000002</v>
      </c>
      <c r="G94">
        <f t="shared" si="10"/>
        <v>8.7694444444444464E-2</v>
      </c>
    </row>
    <row r="95" spans="1:7">
      <c r="A95" s="1">
        <v>20150715</v>
      </c>
      <c r="B95" s="1">
        <v>33</v>
      </c>
      <c r="C95" s="2">
        <f t="shared" si="12"/>
        <v>1.5785000000000002</v>
      </c>
      <c r="D95">
        <f t="shared" si="11"/>
        <v>1.8785000000000003</v>
      </c>
      <c r="E95" s="3">
        <v>8.5</v>
      </c>
      <c r="F95">
        <f t="shared" si="9"/>
        <v>1.5785000000000002</v>
      </c>
      <c r="G95">
        <f t="shared" si="10"/>
        <v>4.7833333333333339E-2</v>
      </c>
    </row>
    <row r="96" spans="1:7">
      <c r="A96" s="1">
        <v>20150715</v>
      </c>
      <c r="B96" s="1">
        <v>26</v>
      </c>
      <c r="C96" s="2">
        <f t="shared" si="12"/>
        <v>1.5785000000000002</v>
      </c>
      <c r="D96">
        <f t="shared" si="11"/>
        <v>1.8785000000000003</v>
      </c>
      <c r="E96" s="3">
        <v>8.5</v>
      </c>
      <c r="F96">
        <f t="shared" si="9"/>
        <v>1.5785000000000002</v>
      </c>
      <c r="G96">
        <f t="shared" si="10"/>
        <v>6.071153846153847E-2</v>
      </c>
    </row>
    <row r="97" spans="1:7">
      <c r="A97" s="1">
        <v>20150715</v>
      </c>
      <c r="B97" s="1">
        <v>37</v>
      </c>
      <c r="C97" s="2">
        <f t="shared" si="12"/>
        <v>1.5122</v>
      </c>
      <c r="D97">
        <f t="shared" si="11"/>
        <v>1.8122</v>
      </c>
      <c r="E97" s="3">
        <v>8.1999999999999993</v>
      </c>
      <c r="F97">
        <f t="shared" si="9"/>
        <v>1.5122</v>
      </c>
      <c r="G97">
        <f t="shared" si="10"/>
        <v>4.0870270270270272E-2</v>
      </c>
    </row>
    <row r="98" spans="1:7">
      <c r="A98" s="1">
        <v>20150715</v>
      </c>
      <c r="B98" s="1">
        <v>37</v>
      </c>
      <c r="C98" s="2">
        <f t="shared" si="12"/>
        <v>1.5122</v>
      </c>
      <c r="D98">
        <f t="shared" si="11"/>
        <v>1.8122</v>
      </c>
      <c r="E98" s="3">
        <v>8.1999999999999993</v>
      </c>
      <c r="F98">
        <f t="shared" si="9"/>
        <v>1.5122</v>
      </c>
      <c r="G98">
        <f t="shared" si="10"/>
        <v>4.0870270270270272E-2</v>
      </c>
    </row>
    <row r="99" spans="1:7">
      <c r="A99" s="1">
        <v>20150715</v>
      </c>
      <c r="B99" s="1">
        <v>17</v>
      </c>
      <c r="C99" s="2">
        <f t="shared" si="12"/>
        <v>1.5122</v>
      </c>
      <c r="D99">
        <f t="shared" si="11"/>
        <v>1.8122</v>
      </c>
      <c r="E99" s="3">
        <v>8.1999999999999993</v>
      </c>
      <c r="F99">
        <f t="shared" si="9"/>
        <v>1.5122</v>
      </c>
      <c r="G99">
        <f t="shared" si="10"/>
        <v>8.8952941176470582E-2</v>
      </c>
    </row>
    <row r="100" spans="1:7">
      <c r="A100" s="1">
        <v>20150715</v>
      </c>
      <c r="B100" s="1">
        <v>25</v>
      </c>
      <c r="C100" s="2">
        <f t="shared" si="12"/>
        <v>1.5122</v>
      </c>
      <c r="D100">
        <f t="shared" si="11"/>
        <v>1.8122</v>
      </c>
      <c r="E100" s="3">
        <v>8.1999999999999993</v>
      </c>
      <c r="F100">
        <f t="shared" si="9"/>
        <v>1.5122</v>
      </c>
      <c r="G100">
        <f t="shared" si="10"/>
        <v>6.0488E-2</v>
      </c>
    </row>
    <row r="101" spans="1:7">
      <c r="A101" s="1">
        <v>20150715</v>
      </c>
      <c r="B101" s="1">
        <v>36</v>
      </c>
      <c r="C101" s="2">
        <f t="shared" si="12"/>
        <v>1.5122</v>
      </c>
      <c r="D101">
        <f t="shared" si="11"/>
        <v>1.8122</v>
      </c>
      <c r="E101" s="3">
        <v>8.1999999999999993</v>
      </c>
      <c r="F101">
        <f t="shared" si="9"/>
        <v>1.5122</v>
      </c>
      <c r="G101">
        <f t="shared" si="10"/>
        <v>4.2005555555555553E-2</v>
      </c>
    </row>
    <row r="102" spans="1:7">
      <c r="A102" s="1">
        <v>20150715</v>
      </c>
      <c r="B102" s="1">
        <v>33</v>
      </c>
      <c r="C102" s="2">
        <f t="shared" si="12"/>
        <v>1.7331999999999999</v>
      </c>
      <c r="D102">
        <f t="shared" si="11"/>
        <v>2.0331999999999999</v>
      </c>
      <c r="E102" s="3">
        <v>9.1999999999999993</v>
      </c>
      <c r="F102">
        <f t="shared" si="9"/>
        <v>1.7331999999999999</v>
      </c>
      <c r="G102">
        <f t="shared" si="10"/>
        <v>5.2521212121212114E-2</v>
      </c>
    </row>
    <row r="103" spans="1:7">
      <c r="A103" s="1">
        <v>20150715</v>
      </c>
      <c r="B103" s="1">
        <v>29</v>
      </c>
      <c r="C103" s="2">
        <f t="shared" si="12"/>
        <v>1.7331999999999999</v>
      </c>
      <c r="D103">
        <f t="shared" si="11"/>
        <v>2.0331999999999999</v>
      </c>
      <c r="E103" s="3">
        <v>9.1999999999999993</v>
      </c>
      <c r="F103">
        <f t="shared" si="9"/>
        <v>1.7331999999999999</v>
      </c>
      <c r="G103">
        <f t="shared" si="10"/>
        <v>5.9765517241379303E-2</v>
      </c>
    </row>
    <row r="104" spans="1:7">
      <c r="A104" s="1">
        <v>20150715</v>
      </c>
      <c r="B104" s="1">
        <v>31</v>
      </c>
      <c r="C104" s="2">
        <f t="shared" si="12"/>
        <v>1.7331999999999999</v>
      </c>
      <c r="D104">
        <f t="shared" si="11"/>
        <v>2.0331999999999999</v>
      </c>
      <c r="E104" s="3">
        <v>9.1999999999999993</v>
      </c>
      <c r="F104">
        <f t="shared" si="9"/>
        <v>1.7331999999999999</v>
      </c>
      <c r="G104">
        <f t="shared" si="10"/>
        <v>5.5909677419354833E-2</v>
      </c>
    </row>
    <row r="105" spans="1:7">
      <c r="A105" s="1">
        <v>20150715</v>
      </c>
      <c r="B105" s="1">
        <v>28</v>
      </c>
      <c r="C105" s="2">
        <f t="shared" si="12"/>
        <v>1.7331999999999999</v>
      </c>
      <c r="D105">
        <f t="shared" si="11"/>
        <v>2.0331999999999999</v>
      </c>
      <c r="E105" s="3">
        <v>9.1999999999999993</v>
      </c>
      <c r="F105">
        <f t="shared" ref="F105:F168" si="13">C105</f>
        <v>1.7331999999999999</v>
      </c>
      <c r="G105">
        <f t="shared" ref="G105:G168" si="14">F105/B105</f>
        <v>6.1899999999999997E-2</v>
      </c>
    </row>
    <row r="106" spans="1:7">
      <c r="A106" s="1">
        <v>20150715</v>
      </c>
      <c r="B106" s="1">
        <v>34</v>
      </c>
      <c r="C106" s="2">
        <f t="shared" si="12"/>
        <v>1.7331999999999999</v>
      </c>
      <c r="D106">
        <f t="shared" si="11"/>
        <v>2.0331999999999999</v>
      </c>
      <c r="E106" s="3">
        <v>9.1999999999999993</v>
      </c>
      <c r="F106">
        <f t="shared" si="13"/>
        <v>1.7331999999999999</v>
      </c>
      <c r="G106">
        <f t="shared" si="14"/>
        <v>5.097647058823529E-2</v>
      </c>
    </row>
    <row r="107" spans="1:7">
      <c r="A107" s="1">
        <v>20150715</v>
      </c>
      <c r="B107" s="1">
        <v>32</v>
      </c>
      <c r="C107" s="2">
        <f t="shared" si="12"/>
        <v>2.4625000000000004</v>
      </c>
      <c r="D107">
        <f t="shared" si="11"/>
        <v>2.7625000000000002</v>
      </c>
      <c r="E107" s="3">
        <v>12.5</v>
      </c>
      <c r="F107">
        <f t="shared" si="13"/>
        <v>2.4625000000000004</v>
      </c>
      <c r="G107">
        <f t="shared" si="14"/>
        <v>7.6953125000000011E-2</v>
      </c>
    </row>
    <row r="108" spans="1:7">
      <c r="A108" s="1">
        <v>20150715</v>
      </c>
      <c r="B108" s="1">
        <v>28</v>
      </c>
      <c r="C108" s="2">
        <f t="shared" si="12"/>
        <v>2.4625000000000004</v>
      </c>
      <c r="D108">
        <f t="shared" si="11"/>
        <v>2.7625000000000002</v>
      </c>
      <c r="E108" s="3">
        <v>12.5</v>
      </c>
      <c r="F108">
        <f t="shared" si="13"/>
        <v>2.4625000000000004</v>
      </c>
      <c r="G108">
        <f t="shared" si="14"/>
        <v>8.7946428571428578E-2</v>
      </c>
    </row>
    <row r="109" spans="1:7">
      <c r="A109" s="1">
        <v>20150715</v>
      </c>
      <c r="B109" s="1">
        <v>29</v>
      </c>
      <c r="C109" s="2">
        <f t="shared" si="12"/>
        <v>2.4625000000000004</v>
      </c>
      <c r="D109">
        <f t="shared" si="11"/>
        <v>2.7625000000000002</v>
      </c>
      <c r="E109" s="3">
        <v>12.5</v>
      </c>
      <c r="F109">
        <f t="shared" si="13"/>
        <v>2.4625000000000004</v>
      </c>
      <c r="G109">
        <f t="shared" si="14"/>
        <v>8.4913793103448293E-2</v>
      </c>
    </row>
    <row r="110" spans="1:7">
      <c r="A110" s="1">
        <v>20150715</v>
      </c>
      <c r="B110" s="1">
        <v>29</v>
      </c>
      <c r="C110" s="2">
        <f t="shared" si="12"/>
        <v>2.4625000000000004</v>
      </c>
      <c r="D110">
        <f t="shared" si="11"/>
        <v>2.7625000000000002</v>
      </c>
      <c r="E110" s="3">
        <v>12.5</v>
      </c>
      <c r="F110">
        <f t="shared" si="13"/>
        <v>2.4625000000000004</v>
      </c>
      <c r="G110">
        <f t="shared" si="14"/>
        <v>8.4913793103448293E-2</v>
      </c>
    </row>
    <row r="111" spans="1:7">
      <c r="A111" s="1">
        <v>20150715</v>
      </c>
      <c r="B111" s="1">
        <v>33</v>
      </c>
      <c r="C111" s="2">
        <f t="shared" si="12"/>
        <v>2.4625000000000004</v>
      </c>
      <c r="D111">
        <f t="shared" si="11"/>
        <v>2.7625000000000002</v>
      </c>
      <c r="E111" s="3">
        <v>12.5</v>
      </c>
      <c r="F111">
        <f t="shared" si="13"/>
        <v>2.4625000000000004</v>
      </c>
      <c r="G111">
        <f t="shared" si="14"/>
        <v>7.462121212121213E-2</v>
      </c>
    </row>
    <row r="112" spans="1:7">
      <c r="A112" s="1">
        <v>20150715</v>
      </c>
      <c r="B112" s="1">
        <v>32</v>
      </c>
      <c r="C112" s="2">
        <f t="shared" si="12"/>
        <v>2.2857000000000003</v>
      </c>
      <c r="D112">
        <f t="shared" si="11"/>
        <v>2.5857000000000001</v>
      </c>
      <c r="E112" s="3">
        <v>11.7</v>
      </c>
      <c r="F112">
        <f t="shared" si="13"/>
        <v>2.2857000000000003</v>
      </c>
      <c r="G112">
        <f t="shared" si="14"/>
        <v>7.1428125000000009E-2</v>
      </c>
    </row>
    <row r="113" spans="1:7">
      <c r="A113" s="1">
        <v>20150715</v>
      </c>
      <c r="B113" s="1">
        <v>27</v>
      </c>
      <c r="C113" s="2">
        <f t="shared" si="12"/>
        <v>2.2857000000000003</v>
      </c>
      <c r="D113">
        <f t="shared" si="11"/>
        <v>2.5857000000000001</v>
      </c>
      <c r="E113" s="3">
        <v>11.7</v>
      </c>
      <c r="F113">
        <f t="shared" si="13"/>
        <v>2.2857000000000003</v>
      </c>
      <c r="G113">
        <f t="shared" si="14"/>
        <v>8.4655555555555567E-2</v>
      </c>
    </row>
    <row r="114" spans="1:7">
      <c r="A114" s="1">
        <v>20150715</v>
      </c>
      <c r="B114" s="1">
        <v>32</v>
      </c>
      <c r="C114" s="2">
        <f t="shared" si="12"/>
        <v>2.2857000000000003</v>
      </c>
      <c r="D114">
        <f t="shared" si="11"/>
        <v>2.5857000000000001</v>
      </c>
      <c r="E114" s="3">
        <v>11.7</v>
      </c>
      <c r="F114">
        <f t="shared" si="13"/>
        <v>2.2857000000000003</v>
      </c>
      <c r="G114">
        <f t="shared" si="14"/>
        <v>7.1428125000000009E-2</v>
      </c>
    </row>
    <row r="115" spans="1:7">
      <c r="A115" s="1">
        <v>20150715</v>
      </c>
      <c r="B115" s="1">
        <v>27</v>
      </c>
      <c r="C115" s="2">
        <f t="shared" si="12"/>
        <v>2.2857000000000003</v>
      </c>
      <c r="D115">
        <f t="shared" si="11"/>
        <v>2.5857000000000001</v>
      </c>
      <c r="E115" s="3">
        <v>11.7</v>
      </c>
      <c r="F115">
        <f t="shared" si="13"/>
        <v>2.2857000000000003</v>
      </c>
      <c r="G115">
        <f t="shared" si="14"/>
        <v>8.4655555555555567E-2</v>
      </c>
    </row>
    <row r="116" spans="1:7">
      <c r="A116" s="1">
        <v>20150715</v>
      </c>
      <c r="B116" s="1">
        <v>22</v>
      </c>
      <c r="C116" s="2">
        <f t="shared" si="12"/>
        <v>2.2857000000000003</v>
      </c>
      <c r="D116">
        <f t="shared" si="11"/>
        <v>2.5857000000000001</v>
      </c>
      <c r="E116" s="3">
        <v>11.7</v>
      </c>
      <c r="F116">
        <f t="shared" si="13"/>
        <v>2.2857000000000003</v>
      </c>
      <c r="G116">
        <f t="shared" si="14"/>
        <v>0.10389545454545455</v>
      </c>
    </row>
    <row r="117" spans="1:7">
      <c r="A117" s="1">
        <v>20150715</v>
      </c>
      <c r="B117" s="1">
        <v>14</v>
      </c>
      <c r="C117" s="2">
        <f t="shared" si="12"/>
        <v>2.3962000000000003</v>
      </c>
      <c r="D117">
        <f t="shared" si="11"/>
        <v>2.6962000000000002</v>
      </c>
      <c r="E117" s="3">
        <v>12.2</v>
      </c>
      <c r="F117">
        <f t="shared" si="13"/>
        <v>2.3962000000000003</v>
      </c>
      <c r="G117">
        <f t="shared" si="14"/>
        <v>0.17115714285714287</v>
      </c>
    </row>
    <row r="118" spans="1:7">
      <c r="A118" s="1">
        <v>20150715</v>
      </c>
      <c r="B118" s="1">
        <v>12</v>
      </c>
      <c r="C118" s="2">
        <f t="shared" si="12"/>
        <v>2.3962000000000003</v>
      </c>
      <c r="D118">
        <f t="shared" si="11"/>
        <v>2.6962000000000002</v>
      </c>
      <c r="E118" s="3">
        <v>12.2</v>
      </c>
      <c r="F118">
        <f t="shared" si="13"/>
        <v>2.3962000000000003</v>
      </c>
      <c r="G118">
        <f t="shared" si="14"/>
        <v>0.19968333333333335</v>
      </c>
    </row>
    <row r="119" spans="1:7">
      <c r="A119" s="1">
        <v>20150715</v>
      </c>
      <c r="B119" s="1">
        <v>9</v>
      </c>
      <c r="C119" s="2">
        <f t="shared" si="12"/>
        <v>2.3962000000000003</v>
      </c>
      <c r="D119">
        <f t="shared" si="11"/>
        <v>2.6962000000000002</v>
      </c>
      <c r="E119" s="3">
        <v>12.2</v>
      </c>
      <c r="F119">
        <f t="shared" si="13"/>
        <v>2.3962000000000003</v>
      </c>
      <c r="G119">
        <f t="shared" si="14"/>
        <v>0.26624444444444451</v>
      </c>
    </row>
    <row r="120" spans="1:7">
      <c r="A120" s="1">
        <v>20150715</v>
      </c>
      <c r="B120" s="1">
        <v>22</v>
      </c>
      <c r="C120" s="2">
        <f t="shared" si="12"/>
        <v>2.3962000000000003</v>
      </c>
      <c r="D120">
        <f t="shared" si="11"/>
        <v>2.6962000000000002</v>
      </c>
      <c r="E120" s="3">
        <v>12.2</v>
      </c>
      <c r="F120">
        <f t="shared" si="13"/>
        <v>2.3962000000000003</v>
      </c>
      <c r="G120">
        <f t="shared" si="14"/>
        <v>0.10891818181818183</v>
      </c>
    </row>
    <row r="121" spans="1:7">
      <c r="A121" s="1">
        <v>20150715</v>
      </c>
      <c r="B121" s="1">
        <v>13</v>
      </c>
      <c r="C121" s="2">
        <f t="shared" si="12"/>
        <v>2.3962000000000003</v>
      </c>
      <c r="D121">
        <f t="shared" si="11"/>
        <v>2.6962000000000002</v>
      </c>
      <c r="E121" s="3">
        <v>12.2</v>
      </c>
      <c r="F121">
        <f t="shared" si="13"/>
        <v>2.3962000000000003</v>
      </c>
      <c r="G121">
        <f t="shared" si="14"/>
        <v>0.18432307692307695</v>
      </c>
    </row>
    <row r="122" spans="1:7">
      <c r="A122" s="1">
        <v>20150712</v>
      </c>
      <c r="B122" s="1">
        <v>2</v>
      </c>
      <c r="C122" s="2">
        <f>D122-$S$14</f>
        <v>-0.32759999999999978</v>
      </c>
      <c r="D122">
        <f t="shared" si="11"/>
        <v>0.97240000000000026</v>
      </c>
      <c r="E122" s="3">
        <v>4.4000000000000004</v>
      </c>
      <c r="F122">
        <f t="shared" si="13"/>
        <v>-0.32759999999999978</v>
      </c>
      <c r="G122">
        <f t="shared" si="14"/>
        <v>-0.16379999999999989</v>
      </c>
    </row>
    <row r="123" spans="1:7">
      <c r="A123" s="1">
        <v>20150712</v>
      </c>
      <c r="B123" s="1">
        <v>1</v>
      </c>
      <c r="C123" s="2">
        <f t="shared" ref="C123:C186" si="15">D123-$S$14</f>
        <v>-0.32759999999999978</v>
      </c>
      <c r="D123">
        <f t="shared" si="11"/>
        <v>0.97240000000000026</v>
      </c>
      <c r="E123" s="3">
        <v>4.4000000000000004</v>
      </c>
      <c r="F123">
        <f t="shared" si="13"/>
        <v>-0.32759999999999978</v>
      </c>
      <c r="G123">
        <f t="shared" si="14"/>
        <v>-0.32759999999999978</v>
      </c>
    </row>
    <row r="124" spans="1:7">
      <c r="A124" s="1">
        <v>20150712</v>
      </c>
      <c r="B124" s="1">
        <v>1</v>
      </c>
      <c r="C124" s="2">
        <f t="shared" si="15"/>
        <v>-0.32759999999999978</v>
      </c>
      <c r="D124">
        <f t="shared" si="11"/>
        <v>0.97240000000000026</v>
      </c>
      <c r="E124" s="3">
        <v>4.4000000000000004</v>
      </c>
      <c r="F124">
        <f t="shared" si="13"/>
        <v>-0.32759999999999978</v>
      </c>
      <c r="G124">
        <f t="shared" si="14"/>
        <v>-0.32759999999999978</v>
      </c>
    </row>
    <row r="125" spans="1:7">
      <c r="A125" s="1">
        <v>20150712</v>
      </c>
      <c r="B125" s="1">
        <v>3</v>
      </c>
      <c r="C125" s="2">
        <f t="shared" si="15"/>
        <v>-0.32759999999999978</v>
      </c>
      <c r="D125">
        <f t="shared" si="11"/>
        <v>0.97240000000000026</v>
      </c>
      <c r="E125" s="3">
        <v>4.4000000000000004</v>
      </c>
      <c r="F125">
        <f t="shared" si="13"/>
        <v>-0.32759999999999978</v>
      </c>
      <c r="G125">
        <f t="shared" si="14"/>
        <v>-0.10919999999999992</v>
      </c>
    </row>
    <row r="126" spans="1:7">
      <c r="A126" s="1">
        <v>20150712</v>
      </c>
      <c r="B126" s="1">
        <v>3</v>
      </c>
      <c r="C126" s="2">
        <f t="shared" si="15"/>
        <v>-0.32759999999999978</v>
      </c>
      <c r="D126">
        <f t="shared" si="11"/>
        <v>0.97240000000000026</v>
      </c>
      <c r="E126" s="3">
        <v>4.4000000000000004</v>
      </c>
      <c r="F126">
        <f t="shared" si="13"/>
        <v>-0.32759999999999978</v>
      </c>
      <c r="G126">
        <f t="shared" si="14"/>
        <v>-0.10919999999999992</v>
      </c>
    </row>
    <row r="127" spans="1:7">
      <c r="A127" s="1">
        <v>20150712</v>
      </c>
      <c r="B127" s="1">
        <v>5</v>
      </c>
      <c r="C127" s="2">
        <f t="shared" si="15"/>
        <v>-0.57069999999999999</v>
      </c>
      <c r="D127">
        <f t="shared" si="11"/>
        <v>0.72930000000000006</v>
      </c>
      <c r="E127" s="3">
        <v>3.3</v>
      </c>
      <c r="F127">
        <f t="shared" si="13"/>
        <v>-0.57069999999999999</v>
      </c>
      <c r="G127">
        <f t="shared" si="14"/>
        <v>-0.11413999999999999</v>
      </c>
    </row>
    <row r="128" spans="1:7">
      <c r="A128" s="1">
        <v>20150712</v>
      </c>
      <c r="B128" s="1">
        <v>5</v>
      </c>
      <c r="C128" s="2">
        <f t="shared" si="15"/>
        <v>-0.57069999999999999</v>
      </c>
      <c r="D128">
        <f t="shared" si="11"/>
        <v>0.72930000000000006</v>
      </c>
      <c r="E128" s="3">
        <v>3.3</v>
      </c>
      <c r="F128">
        <f t="shared" si="13"/>
        <v>-0.57069999999999999</v>
      </c>
      <c r="G128">
        <f t="shared" si="14"/>
        <v>-0.11413999999999999</v>
      </c>
    </row>
    <row r="129" spans="1:7">
      <c r="A129" s="1">
        <v>20150712</v>
      </c>
      <c r="B129" s="1">
        <v>13</v>
      </c>
      <c r="C129" s="2">
        <f t="shared" si="15"/>
        <v>-0.57069999999999999</v>
      </c>
      <c r="D129">
        <f t="shared" si="11"/>
        <v>0.72930000000000006</v>
      </c>
      <c r="E129" s="3">
        <v>3.3</v>
      </c>
      <c r="F129">
        <f t="shared" si="13"/>
        <v>-0.57069999999999999</v>
      </c>
      <c r="G129">
        <f t="shared" si="14"/>
        <v>-4.3900000000000002E-2</v>
      </c>
    </row>
    <row r="130" spans="1:7">
      <c r="A130" s="1">
        <v>20150712</v>
      </c>
      <c r="B130" s="1">
        <v>26</v>
      </c>
      <c r="C130" s="2">
        <f t="shared" si="15"/>
        <v>-0.57069999999999999</v>
      </c>
      <c r="D130">
        <f t="shared" ref="D130:D193" si="16">0.17*($H$2/12)*E130</f>
        <v>0.72930000000000006</v>
      </c>
      <c r="E130" s="3">
        <v>3.3</v>
      </c>
      <c r="F130">
        <f t="shared" si="13"/>
        <v>-0.57069999999999999</v>
      </c>
      <c r="G130">
        <f t="shared" si="14"/>
        <v>-2.1950000000000001E-2</v>
      </c>
    </row>
    <row r="131" spans="1:7">
      <c r="A131" s="1">
        <v>20150712</v>
      </c>
      <c r="B131" s="1">
        <v>3</v>
      </c>
      <c r="C131" s="2">
        <f t="shared" si="15"/>
        <v>-0.57069999999999999</v>
      </c>
      <c r="D131">
        <f t="shared" si="16"/>
        <v>0.72930000000000006</v>
      </c>
      <c r="E131" s="3">
        <v>3.3</v>
      </c>
      <c r="F131">
        <f t="shared" si="13"/>
        <v>-0.57069999999999999</v>
      </c>
      <c r="G131">
        <f t="shared" si="14"/>
        <v>-0.19023333333333334</v>
      </c>
    </row>
    <row r="132" spans="1:7">
      <c r="A132" s="1">
        <v>20150712</v>
      </c>
      <c r="B132" s="1">
        <v>3</v>
      </c>
      <c r="C132" s="2">
        <f t="shared" si="15"/>
        <v>0.22490000000000032</v>
      </c>
      <c r="D132">
        <f t="shared" si="16"/>
        <v>1.5249000000000004</v>
      </c>
      <c r="E132" s="3">
        <v>6.9</v>
      </c>
      <c r="F132">
        <f t="shared" si="13"/>
        <v>0.22490000000000032</v>
      </c>
      <c r="G132">
        <f t="shared" si="14"/>
        <v>7.4966666666666779E-2</v>
      </c>
    </row>
    <row r="133" spans="1:7">
      <c r="A133" s="1">
        <v>20150712</v>
      </c>
      <c r="B133" s="1">
        <v>3</v>
      </c>
      <c r="C133" s="2">
        <f t="shared" si="15"/>
        <v>0.22490000000000032</v>
      </c>
      <c r="D133">
        <f t="shared" si="16"/>
        <v>1.5249000000000004</v>
      </c>
      <c r="E133" s="3">
        <v>6.9</v>
      </c>
      <c r="F133">
        <f t="shared" si="13"/>
        <v>0.22490000000000032</v>
      </c>
      <c r="G133">
        <f t="shared" si="14"/>
        <v>7.4966666666666779E-2</v>
      </c>
    </row>
    <row r="134" spans="1:7">
      <c r="A134" s="1">
        <v>20150712</v>
      </c>
      <c r="B134" s="1">
        <v>2</v>
      </c>
      <c r="C134" s="2">
        <f t="shared" si="15"/>
        <v>0.22490000000000032</v>
      </c>
      <c r="D134">
        <f t="shared" si="16"/>
        <v>1.5249000000000004</v>
      </c>
      <c r="E134" s="3">
        <v>6.9</v>
      </c>
      <c r="F134">
        <f t="shared" si="13"/>
        <v>0.22490000000000032</v>
      </c>
      <c r="G134">
        <f t="shared" si="14"/>
        <v>0.11245000000000016</v>
      </c>
    </row>
    <row r="135" spans="1:7">
      <c r="A135" s="1">
        <v>20150712</v>
      </c>
      <c r="B135" s="1">
        <v>1</v>
      </c>
      <c r="C135" s="2">
        <f t="shared" si="15"/>
        <v>0.22490000000000032</v>
      </c>
      <c r="D135">
        <f t="shared" si="16"/>
        <v>1.5249000000000004</v>
      </c>
      <c r="E135" s="3">
        <v>6.9</v>
      </c>
      <c r="F135">
        <f t="shared" si="13"/>
        <v>0.22490000000000032</v>
      </c>
      <c r="G135">
        <f t="shared" si="14"/>
        <v>0.22490000000000032</v>
      </c>
    </row>
    <row r="136" spans="1:7">
      <c r="A136" s="1">
        <v>20150712</v>
      </c>
      <c r="B136" s="1">
        <v>12</v>
      </c>
      <c r="C136" s="2">
        <f t="shared" si="15"/>
        <v>0.22490000000000032</v>
      </c>
      <c r="D136">
        <f t="shared" si="16"/>
        <v>1.5249000000000004</v>
      </c>
      <c r="E136" s="3">
        <v>6.9</v>
      </c>
      <c r="F136">
        <f t="shared" si="13"/>
        <v>0.22490000000000032</v>
      </c>
      <c r="G136">
        <f t="shared" si="14"/>
        <v>1.8741666666666695E-2</v>
      </c>
    </row>
    <row r="137" spans="1:7">
      <c r="A137" s="1">
        <v>20150712</v>
      </c>
      <c r="B137" s="1">
        <v>1</v>
      </c>
      <c r="C137" s="2">
        <f t="shared" si="15"/>
        <v>0.53430000000000044</v>
      </c>
      <c r="D137">
        <f t="shared" si="16"/>
        <v>1.8343000000000005</v>
      </c>
      <c r="E137" s="3">
        <v>8.3000000000000007</v>
      </c>
      <c r="F137">
        <f t="shared" si="13"/>
        <v>0.53430000000000044</v>
      </c>
      <c r="G137">
        <f t="shared" si="14"/>
        <v>0.53430000000000044</v>
      </c>
    </row>
    <row r="138" spans="1:7">
      <c r="A138" s="1">
        <v>20150712</v>
      </c>
      <c r="B138" s="1">
        <v>2</v>
      </c>
      <c r="C138" s="2">
        <f t="shared" si="15"/>
        <v>0.53430000000000044</v>
      </c>
      <c r="D138">
        <f t="shared" si="16"/>
        <v>1.8343000000000005</v>
      </c>
      <c r="E138" s="3">
        <v>8.3000000000000007</v>
      </c>
      <c r="F138">
        <f t="shared" si="13"/>
        <v>0.53430000000000044</v>
      </c>
      <c r="G138">
        <f t="shared" si="14"/>
        <v>0.26715000000000022</v>
      </c>
    </row>
    <row r="139" spans="1:7">
      <c r="A139" s="1">
        <v>20150712</v>
      </c>
      <c r="B139" s="1">
        <v>5</v>
      </c>
      <c r="C139" s="2">
        <f t="shared" si="15"/>
        <v>0.53430000000000044</v>
      </c>
      <c r="D139">
        <f t="shared" si="16"/>
        <v>1.8343000000000005</v>
      </c>
      <c r="E139" s="3">
        <v>8.3000000000000007</v>
      </c>
      <c r="F139">
        <f t="shared" si="13"/>
        <v>0.53430000000000044</v>
      </c>
      <c r="G139">
        <f t="shared" si="14"/>
        <v>0.10686000000000009</v>
      </c>
    </row>
    <row r="140" spans="1:7">
      <c r="A140" s="1">
        <v>20150712</v>
      </c>
      <c r="B140" s="1">
        <v>2</v>
      </c>
      <c r="C140" s="2">
        <f t="shared" si="15"/>
        <v>0.53430000000000044</v>
      </c>
      <c r="D140">
        <f t="shared" si="16"/>
        <v>1.8343000000000005</v>
      </c>
      <c r="E140" s="3">
        <v>8.3000000000000007</v>
      </c>
      <c r="F140">
        <f t="shared" si="13"/>
        <v>0.53430000000000044</v>
      </c>
      <c r="G140">
        <f t="shared" si="14"/>
        <v>0.26715000000000022</v>
      </c>
    </row>
    <row r="141" spans="1:7">
      <c r="A141" s="1">
        <v>20150712</v>
      </c>
      <c r="B141" s="1">
        <v>1</v>
      </c>
      <c r="C141" s="2">
        <f t="shared" si="15"/>
        <v>0.53430000000000044</v>
      </c>
      <c r="D141">
        <f t="shared" si="16"/>
        <v>1.8343000000000005</v>
      </c>
      <c r="E141" s="3">
        <v>8.3000000000000007</v>
      </c>
      <c r="F141">
        <f t="shared" si="13"/>
        <v>0.53430000000000044</v>
      </c>
      <c r="G141">
        <f t="shared" si="14"/>
        <v>0.53430000000000044</v>
      </c>
    </row>
    <row r="142" spans="1:7">
      <c r="A142" s="1">
        <v>20150712</v>
      </c>
      <c r="B142" s="1">
        <v>3</v>
      </c>
      <c r="C142" s="2">
        <f t="shared" si="15"/>
        <v>1.0426</v>
      </c>
      <c r="D142">
        <f t="shared" si="16"/>
        <v>2.3426</v>
      </c>
      <c r="E142" s="3">
        <v>10.6</v>
      </c>
      <c r="F142">
        <f t="shared" si="13"/>
        <v>1.0426</v>
      </c>
      <c r="G142">
        <f t="shared" si="14"/>
        <v>0.34753333333333331</v>
      </c>
    </row>
    <row r="143" spans="1:7">
      <c r="A143" s="1">
        <v>20150712</v>
      </c>
      <c r="B143" s="1">
        <v>2</v>
      </c>
      <c r="C143" s="2">
        <f t="shared" si="15"/>
        <v>1.0426</v>
      </c>
      <c r="D143">
        <f t="shared" si="16"/>
        <v>2.3426</v>
      </c>
      <c r="E143" s="3">
        <v>10.6</v>
      </c>
      <c r="F143">
        <f t="shared" si="13"/>
        <v>1.0426</v>
      </c>
      <c r="G143">
        <f t="shared" si="14"/>
        <v>0.52129999999999999</v>
      </c>
    </row>
    <row r="144" spans="1:7">
      <c r="A144" s="1">
        <v>20150712</v>
      </c>
      <c r="B144" s="1">
        <v>3</v>
      </c>
      <c r="C144" s="2">
        <f t="shared" si="15"/>
        <v>1.0426</v>
      </c>
      <c r="D144">
        <f t="shared" si="16"/>
        <v>2.3426</v>
      </c>
      <c r="E144" s="3">
        <v>10.6</v>
      </c>
      <c r="F144">
        <f t="shared" si="13"/>
        <v>1.0426</v>
      </c>
      <c r="G144">
        <f t="shared" si="14"/>
        <v>0.34753333333333331</v>
      </c>
    </row>
    <row r="145" spans="1:7">
      <c r="A145" s="1">
        <v>20150712</v>
      </c>
      <c r="B145" s="1">
        <v>1</v>
      </c>
      <c r="C145" s="2">
        <f t="shared" si="15"/>
        <v>1.0426</v>
      </c>
      <c r="D145">
        <f t="shared" si="16"/>
        <v>2.3426</v>
      </c>
      <c r="E145" s="3">
        <v>10.6</v>
      </c>
      <c r="F145">
        <f t="shared" si="13"/>
        <v>1.0426</v>
      </c>
      <c r="G145">
        <f t="shared" si="14"/>
        <v>1.0426</v>
      </c>
    </row>
    <row r="146" spans="1:7">
      <c r="A146" s="1">
        <v>20150712</v>
      </c>
      <c r="B146" s="1">
        <v>1</v>
      </c>
      <c r="C146" s="2">
        <f t="shared" si="15"/>
        <v>1.0426</v>
      </c>
      <c r="D146">
        <f t="shared" si="16"/>
        <v>2.3426</v>
      </c>
      <c r="E146" s="3">
        <v>10.6</v>
      </c>
      <c r="F146">
        <f t="shared" si="13"/>
        <v>1.0426</v>
      </c>
      <c r="G146">
        <f t="shared" si="14"/>
        <v>1.0426</v>
      </c>
    </row>
    <row r="147" spans="1:7">
      <c r="A147" s="1">
        <v>20150712</v>
      </c>
      <c r="B147" s="1">
        <v>3</v>
      </c>
      <c r="C147" s="2">
        <f t="shared" si="15"/>
        <v>0.31330000000000013</v>
      </c>
      <c r="D147">
        <f t="shared" si="16"/>
        <v>1.6133000000000002</v>
      </c>
      <c r="E147" s="3">
        <v>7.3</v>
      </c>
      <c r="F147">
        <f t="shared" si="13"/>
        <v>0.31330000000000013</v>
      </c>
      <c r="G147">
        <f t="shared" si="14"/>
        <v>0.10443333333333338</v>
      </c>
    </row>
    <row r="148" spans="1:7">
      <c r="A148" s="1">
        <v>20150712</v>
      </c>
      <c r="B148" s="1">
        <v>4</v>
      </c>
      <c r="C148" s="2">
        <f t="shared" si="15"/>
        <v>0.31330000000000013</v>
      </c>
      <c r="D148">
        <f t="shared" si="16"/>
        <v>1.6133000000000002</v>
      </c>
      <c r="E148" s="3">
        <v>7.3</v>
      </c>
      <c r="F148">
        <f t="shared" si="13"/>
        <v>0.31330000000000013</v>
      </c>
      <c r="G148">
        <f t="shared" si="14"/>
        <v>7.8325000000000033E-2</v>
      </c>
    </row>
    <row r="149" spans="1:7">
      <c r="A149" s="1">
        <v>20150712</v>
      </c>
      <c r="B149" s="1">
        <v>4</v>
      </c>
      <c r="C149" s="2">
        <f t="shared" si="15"/>
        <v>0.31330000000000013</v>
      </c>
      <c r="D149">
        <f t="shared" si="16"/>
        <v>1.6133000000000002</v>
      </c>
      <c r="E149" s="3">
        <v>7.3</v>
      </c>
      <c r="F149">
        <f t="shared" si="13"/>
        <v>0.31330000000000013</v>
      </c>
      <c r="G149">
        <f t="shared" si="14"/>
        <v>7.8325000000000033E-2</v>
      </c>
    </row>
    <row r="150" spans="1:7">
      <c r="A150" s="1">
        <v>20150712</v>
      </c>
      <c r="B150" s="1">
        <v>3</v>
      </c>
      <c r="C150" s="2">
        <f t="shared" si="15"/>
        <v>0.31330000000000013</v>
      </c>
      <c r="D150">
        <f t="shared" si="16"/>
        <v>1.6133000000000002</v>
      </c>
      <c r="E150" s="3">
        <v>7.3</v>
      </c>
      <c r="F150">
        <f t="shared" si="13"/>
        <v>0.31330000000000013</v>
      </c>
      <c r="G150">
        <f t="shared" si="14"/>
        <v>0.10443333333333338</v>
      </c>
    </row>
    <row r="151" spans="1:7">
      <c r="A151" s="1">
        <v>20150712</v>
      </c>
      <c r="B151" s="1">
        <v>4</v>
      </c>
      <c r="C151" s="2">
        <f t="shared" si="15"/>
        <v>0.31330000000000013</v>
      </c>
      <c r="D151">
        <f t="shared" si="16"/>
        <v>1.6133000000000002</v>
      </c>
      <c r="E151" s="3">
        <v>7.3</v>
      </c>
      <c r="F151">
        <f t="shared" si="13"/>
        <v>0.31330000000000013</v>
      </c>
      <c r="G151">
        <f t="shared" si="14"/>
        <v>7.8325000000000033E-2</v>
      </c>
    </row>
    <row r="152" spans="1:7">
      <c r="A152" s="1">
        <v>20150712</v>
      </c>
      <c r="B152" s="1">
        <v>1</v>
      </c>
      <c r="C152" s="2">
        <f t="shared" si="15"/>
        <v>-0.32759999999999978</v>
      </c>
      <c r="D152">
        <f t="shared" si="16"/>
        <v>0.97240000000000026</v>
      </c>
      <c r="E152" s="3">
        <v>4.4000000000000004</v>
      </c>
      <c r="F152">
        <f t="shared" si="13"/>
        <v>-0.32759999999999978</v>
      </c>
      <c r="G152">
        <f t="shared" si="14"/>
        <v>-0.32759999999999978</v>
      </c>
    </row>
    <row r="153" spans="1:7">
      <c r="A153" s="1">
        <v>20150712</v>
      </c>
      <c r="B153" s="1">
        <v>8</v>
      </c>
      <c r="C153" s="2">
        <f t="shared" si="15"/>
        <v>-0.32759999999999978</v>
      </c>
      <c r="D153">
        <f t="shared" si="16"/>
        <v>0.97240000000000026</v>
      </c>
      <c r="E153" s="3">
        <v>4.4000000000000004</v>
      </c>
      <c r="F153">
        <f t="shared" si="13"/>
        <v>-0.32759999999999978</v>
      </c>
      <c r="G153">
        <f t="shared" si="14"/>
        <v>-4.0949999999999973E-2</v>
      </c>
    </row>
    <row r="154" spans="1:7">
      <c r="A154" s="1">
        <v>20150712</v>
      </c>
      <c r="B154" s="1">
        <v>9</v>
      </c>
      <c r="C154" s="2">
        <f t="shared" si="15"/>
        <v>-0.32759999999999978</v>
      </c>
      <c r="D154">
        <f t="shared" si="16"/>
        <v>0.97240000000000026</v>
      </c>
      <c r="E154" s="3">
        <v>4.4000000000000004</v>
      </c>
      <c r="F154">
        <f t="shared" si="13"/>
        <v>-0.32759999999999978</v>
      </c>
      <c r="G154">
        <f t="shared" si="14"/>
        <v>-3.6399999999999974E-2</v>
      </c>
    </row>
    <row r="155" spans="1:7">
      <c r="A155" s="1">
        <v>20150712</v>
      </c>
      <c r="B155" s="1">
        <v>10</v>
      </c>
      <c r="C155" s="2">
        <f t="shared" si="15"/>
        <v>-0.32759999999999978</v>
      </c>
      <c r="D155">
        <f t="shared" si="16"/>
        <v>0.97240000000000026</v>
      </c>
      <c r="E155" s="3">
        <v>4.4000000000000004</v>
      </c>
      <c r="F155">
        <f t="shared" si="13"/>
        <v>-0.32759999999999978</v>
      </c>
      <c r="G155">
        <f t="shared" si="14"/>
        <v>-3.2759999999999977E-2</v>
      </c>
    </row>
    <row r="156" spans="1:7">
      <c r="A156" s="1">
        <v>20150712</v>
      </c>
      <c r="B156" s="1">
        <v>3</v>
      </c>
      <c r="C156" s="2">
        <f t="shared" si="15"/>
        <v>-0.32759999999999978</v>
      </c>
      <c r="D156">
        <f t="shared" si="16"/>
        <v>0.97240000000000026</v>
      </c>
      <c r="E156" s="3">
        <v>4.4000000000000004</v>
      </c>
      <c r="F156">
        <f t="shared" si="13"/>
        <v>-0.32759999999999978</v>
      </c>
      <c r="G156">
        <f t="shared" si="14"/>
        <v>-0.10919999999999992</v>
      </c>
    </row>
    <row r="157" spans="1:7">
      <c r="A157" s="1">
        <v>20150712</v>
      </c>
      <c r="B157" s="1">
        <v>12</v>
      </c>
      <c r="C157" s="2">
        <f t="shared" si="15"/>
        <v>-0.57069999999999999</v>
      </c>
      <c r="D157">
        <f t="shared" si="16"/>
        <v>0.72930000000000006</v>
      </c>
      <c r="E157" s="3">
        <v>3.3</v>
      </c>
      <c r="F157">
        <f t="shared" si="13"/>
        <v>-0.57069999999999999</v>
      </c>
      <c r="G157">
        <f t="shared" si="14"/>
        <v>-4.7558333333333334E-2</v>
      </c>
    </row>
    <row r="158" spans="1:7">
      <c r="A158" s="1">
        <v>20150712</v>
      </c>
      <c r="B158" s="1">
        <v>17</v>
      </c>
      <c r="C158" s="2">
        <f t="shared" si="15"/>
        <v>-0.57069999999999999</v>
      </c>
      <c r="D158">
        <f t="shared" si="16"/>
        <v>0.72930000000000006</v>
      </c>
      <c r="E158" s="3">
        <v>3.3</v>
      </c>
      <c r="F158">
        <f t="shared" si="13"/>
        <v>-0.57069999999999999</v>
      </c>
      <c r="G158">
        <f t="shared" si="14"/>
        <v>-3.3570588235294116E-2</v>
      </c>
    </row>
    <row r="159" spans="1:7">
      <c r="A159" s="1">
        <v>20150712</v>
      </c>
      <c r="B159" s="1">
        <v>48</v>
      </c>
      <c r="C159" s="2">
        <f t="shared" si="15"/>
        <v>-0.57069999999999999</v>
      </c>
      <c r="D159">
        <f t="shared" si="16"/>
        <v>0.72930000000000006</v>
      </c>
      <c r="E159" s="3">
        <v>3.3</v>
      </c>
      <c r="F159">
        <f t="shared" si="13"/>
        <v>-0.57069999999999999</v>
      </c>
      <c r="G159">
        <f t="shared" si="14"/>
        <v>-1.1889583333333334E-2</v>
      </c>
    </row>
    <row r="160" spans="1:7">
      <c r="A160" s="1">
        <v>20150712</v>
      </c>
      <c r="B160" s="1">
        <v>12</v>
      </c>
      <c r="C160" s="2">
        <f t="shared" si="15"/>
        <v>-0.57069999999999999</v>
      </c>
      <c r="D160">
        <f t="shared" si="16"/>
        <v>0.72930000000000006</v>
      </c>
      <c r="E160" s="3">
        <v>3.3</v>
      </c>
      <c r="F160">
        <f t="shared" si="13"/>
        <v>-0.57069999999999999</v>
      </c>
      <c r="G160">
        <f t="shared" si="14"/>
        <v>-4.7558333333333334E-2</v>
      </c>
    </row>
    <row r="161" spans="1:7">
      <c r="A161" s="1">
        <v>20150712</v>
      </c>
      <c r="B161" s="1">
        <v>22</v>
      </c>
      <c r="C161" s="2">
        <f t="shared" si="15"/>
        <v>-0.57069999999999999</v>
      </c>
      <c r="D161">
        <f t="shared" si="16"/>
        <v>0.72930000000000006</v>
      </c>
      <c r="E161" s="3">
        <v>3.3</v>
      </c>
      <c r="F161">
        <f t="shared" si="13"/>
        <v>-0.57069999999999999</v>
      </c>
      <c r="G161">
        <f t="shared" si="14"/>
        <v>-2.5940909090909091E-2</v>
      </c>
    </row>
    <row r="162" spans="1:7">
      <c r="A162" s="1">
        <v>20150712</v>
      </c>
      <c r="B162" s="1">
        <v>11</v>
      </c>
      <c r="C162" s="2">
        <f t="shared" si="15"/>
        <v>0.22490000000000032</v>
      </c>
      <c r="D162">
        <f t="shared" si="16"/>
        <v>1.5249000000000004</v>
      </c>
      <c r="E162" s="3">
        <v>6.9</v>
      </c>
      <c r="F162">
        <f t="shared" si="13"/>
        <v>0.22490000000000032</v>
      </c>
      <c r="G162">
        <f t="shared" si="14"/>
        <v>2.0445454545454576E-2</v>
      </c>
    </row>
    <row r="163" spans="1:7">
      <c r="A163" s="1">
        <v>20150712</v>
      </c>
      <c r="B163" s="1">
        <v>9</v>
      </c>
      <c r="C163" s="2">
        <f t="shared" si="15"/>
        <v>0.22490000000000032</v>
      </c>
      <c r="D163">
        <f t="shared" si="16"/>
        <v>1.5249000000000004</v>
      </c>
      <c r="E163" s="3">
        <v>6.9</v>
      </c>
      <c r="F163">
        <f t="shared" si="13"/>
        <v>0.22490000000000032</v>
      </c>
      <c r="G163">
        <f t="shared" si="14"/>
        <v>2.4988888888888925E-2</v>
      </c>
    </row>
    <row r="164" spans="1:7">
      <c r="A164" s="1">
        <v>20150712</v>
      </c>
      <c r="B164" s="1">
        <v>6</v>
      </c>
      <c r="C164" s="2">
        <f t="shared" si="15"/>
        <v>0.22490000000000032</v>
      </c>
      <c r="D164">
        <f t="shared" si="16"/>
        <v>1.5249000000000004</v>
      </c>
      <c r="E164" s="3">
        <v>6.9</v>
      </c>
      <c r="F164">
        <f t="shared" si="13"/>
        <v>0.22490000000000032</v>
      </c>
      <c r="G164">
        <f t="shared" si="14"/>
        <v>3.7483333333333389E-2</v>
      </c>
    </row>
    <row r="165" spans="1:7">
      <c r="A165" s="1">
        <v>20150712</v>
      </c>
      <c r="B165" s="1">
        <v>6</v>
      </c>
      <c r="C165" s="2">
        <f t="shared" si="15"/>
        <v>0.22490000000000032</v>
      </c>
      <c r="D165">
        <f t="shared" si="16"/>
        <v>1.5249000000000004</v>
      </c>
      <c r="E165" s="3">
        <v>6.9</v>
      </c>
      <c r="F165">
        <f t="shared" si="13"/>
        <v>0.22490000000000032</v>
      </c>
      <c r="G165">
        <f t="shared" si="14"/>
        <v>3.7483333333333389E-2</v>
      </c>
    </row>
    <row r="166" spans="1:7">
      <c r="A166" s="1">
        <v>20150712</v>
      </c>
      <c r="B166" s="1">
        <v>22</v>
      </c>
      <c r="C166" s="2">
        <f t="shared" si="15"/>
        <v>0.22490000000000032</v>
      </c>
      <c r="D166">
        <f t="shared" si="16"/>
        <v>1.5249000000000004</v>
      </c>
      <c r="E166" s="3">
        <v>6.9</v>
      </c>
      <c r="F166">
        <f t="shared" si="13"/>
        <v>0.22490000000000032</v>
      </c>
      <c r="G166">
        <f t="shared" si="14"/>
        <v>1.0222727272727288E-2</v>
      </c>
    </row>
    <row r="167" spans="1:7">
      <c r="A167" s="1">
        <v>20150712</v>
      </c>
      <c r="B167" s="1">
        <v>12</v>
      </c>
      <c r="C167" s="2">
        <f t="shared" si="15"/>
        <v>0.53430000000000044</v>
      </c>
      <c r="D167">
        <f t="shared" si="16"/>
        <v>1.8343000000000005</v>
      </c>
      <c r="E167" s="3">
        <v>8.3000000000000007</v>
      </c>
      <c r="F167">
        <f t="shared" si="13"/>
        <v>0.53430000000000044</v>
      </c>
      <c r="G167">
        <f t="shared" si="14"/>
        <v>4.4525000000000037E-2</v>
      </c>
    </row>
    <row r="168" spans="1:7">
      <c r="A168" s="1">
        <v>20150712</v>
      </c>
      <c r="B168" s="1">
        <v>11</v>
      </c>
      <c r="C168" s="2">
        <f t="shared" si="15"/>
        <v>0.53430000000000044</v>
      </c>
      <c r="D168">
        <f t="shared" si="16"/>
        <v>1.8343000000000005</v>
      </c>
      <c r="E168" s="3">
        <v>8.3000000000000007</v>
      </c>
      <c r="F168">
        <f t="shared" si="13"/>
        <v>0.53430000000000044</v>
      </c>
      <c r="G168">
        <f t="shared" si="14"/>
        <v>4.8572727272727316E-2</v>
      </c>
    </row>
    <row r="169" spans="1:7">
      <c r="A169" s="1">
        <v>20150712</v>
      </c>
      <c r="B169" s="1">
        <v>15</v>
      </c>
      <c r="C169" s="2">
        <f t="shared" si="15"/>
        <v>0.53430000000000044</v>
      </c>
      <c r="D169">
        <f t="shared" si="16"/>
        <v>1.8343000000000005</v>
      </c>
      <c r="E169" s="3">
        <v>8.3000000000000007</v>
      </c>
      <c r="F169">
        <f t="shared" ref="F169:F232" si="17">C169</f>
        <v>0.53430000000000044</v>
      </c>
      <c r="G169">
        <f t="shared" ref="G169:G232" si="18">F169/B169</f>
        <v>3.5620000000000027E-2</v>
      </c>
    </row>
    <row r="170" spans="1:7">
      <c r="A170" s="1">
        <v>20150712</v>
      </c>
      <c r="B170" s="1">
        <v>14</v>
      </c>
      <c r="C170" s="2">
        <f t="shared" si="15"/>
        <v>0.53430000000000044</v>
      </c>
      <c r="D170">
        <f t="shared" si="16"/>
        <v>1.8343000000000005</v>
      </c>
      <c r="E170" s="3">
        <v>8.3000000000000007</v>
      </c>
      <c r="F170">
        <f t="shared" si="17"/>
        <v>0.53430000000000044</v>
      </c>
      <c r="G170">
        <f t="shared" si="18"/>
        <v>3.8164285714285748E-2</v>
      </c>
    </row>
    <row r="171" spans="1:7">
      <c r="A171" s="1">
        <v>20150712</v>
      </c>
      <c r="B171" s="1">
        <v>5</v>
      </c>
      <c r="C171" s="2">
        <f t="shared" si="15"/>
        <v>0.53430000000000044</v>
      </c>
      <c r="D171">
        <f t="shared" si="16"/>
        <v>1.8343000000000005</v>
      </c>
      <c r="E171" s="3">
        <v>8.3000000000000007</v>
      </c>
      <c r="F171">
        <f t="shared" si="17"/>
        <v>0.53430000000000044</v>
      </c>
      <c r="G171">
        <f t="shared" si="18"/>
        <v>0.10686000000000009</v>
      </c>
    </row>
    <row r="172" spans="1:7">
      <c r="A172" s="1">
        <v>20150712</v>
      </c>
      <c r="B172" s="1">
        <v>2</v>
      </c>
      <c r="C172" s="2">
        <f t="shared" si="15"/>
        <v>1.0426</v>
      </c>
      <c r="D172">
        <f t="shared" si="16"/>
        <v>2.3426</v>
      </c>
      <c r="E172" s="3">
        <v>10.6</v>
      </c>
      <c r="F172">
        <f t="shared" si="17"/>
        <v>1.0426</v>
      </c>
      <c r="G172">
        <f t="shared" si="18"/>
        <v>0.52129999999999999</v>
      </c>
    </row>
    <row r="173" spans="1:7">
      <c r="A173" s="1">
        <v>20150712</v>
      </c>
      <c r="B173" s="1">
        <v>3</v>
      </c>
      <c r="C173" s="2">
        <f t="shared" si="15"/>
        <v>1.0426</v>
      </c>
      <c r="D173">
        <f t="shared" si="16"/>
        <v>2.3426</v>
      </c>
      <c r="E173" s="3">
        <v>10.6</v>
      </c>
      <c r="F173">
        <f t="shared" si="17"/>
        <v>1.0426</v>
      </c>
      <c r="G173">
        <f t="shared" si="18"/>
        <v>0.34753333333333331</v>
      </c>
    </row>
    <row r="174" spans="1:7">
      <c r="A174" s="1">
        <v>20150712</v>
      </c>
      <c r="B174" s="1">
        <v>4</v>
      </c>
      <c r="C174" s="2">
        <f t="shared" si="15"/>
        <v>1.0426</v>
      </c>
      <c r="D174">
        <f t="shared" si="16"/>
        <v>2.3426</v>
      </c>
      <c r="E174" s="3">
        <v>10.6</v>
      </c>
      <c r="F174">
        <f t="shared" si="17"/>
        <v>1.0426</v>
      </c>
      <c r="G174">
        <f t="shared" si="18"/>
        <v>0.26064999999999999</v>
      </c>
    </row>
    <row r="175" spans="1:7">
      <c r="A175" s="1">
        <v>20150712</v>
      </c>
      <c r="B175" s="1">
        <v>5</v>
      </c>
      <c r="C175" s="2">
        <f t="shared" si="15"/>
        <v>1.0426</v>
      </c>
      <c r="D175">
        <f t="shared" si="16"/>
        <v>2.3426</v>
      </c>
      <c r="E175" s="3">
        <v>10.6</v>
      </c>
      <c r="F175">
        <f t="shared" si="17"/>
        <v>1.0426</v>
      </c>
      <c r="G175">
        <f t="shared" si="18"/>
        <v>0.20851999999999998</v>
      </c>
    </row>
    <row r="176" spans="1:7">
      <c r="A176" s="1">
        <v>20150712</v>
      </c>
      <c r="B176" s="1">
        <v>6</v>
      </c>
      <c r="C176" s="2">
        <f t="shared" si="15"/>
        <v>1.0426</v>
      </c>
      <c r="D176">
        <f t="shared" si="16"/>
        <v>2.3426</v>
      </c>
      <c r="E176" s="3">
        <v>10.6</v>
      </c>
      <c r="F176">
        <f t="shared" si="17"/>
        <v>1.0426</v>
      </c>
      <c r="G176">
        <f t="shared" si="18"/>
        <v>0.17376666666666665</v>
      </c>
    </row>
    <row r="177" spans="1:7">
      <c r="A177" s="1">
        <v>20150712</v>
      </c>
      <c r="B177" s="1">
        <v>7</v>
      </c>
      <c r="C177" s="2">
        <f t="shared" si="15"/>
        <v>0.31330000000000013</v>
      </c>
      <c r="D177">
        <f t="shared" si="16"/>
        <v>1.6133000000000002</v>
      </c>
      <c r="E177" s="3">
        <v>7.3</v>
      </c>
      <c r="F177">
        <f t="shared" si="17"/>
        <v>0.31330000000000013</v>
      </c>
      <c r="G177">
        <f t="shared" si="18"/>
        <v>4.4757142857142877E-2</v>
      </c>
    </row>
    <row r="178" spans="1:7">
      <c r="A178" s="1">
        <v>20150712</v>
      </c>
      <c r="B178" s="1">
        <v>4</v>
      </c>
      <c r="C178" s="2">
        <f t="shared" si="15"/>
        <v>0.31330000000000013</v>
      </c>
      <c r="D178">
        <f t="shared" si="16"/>
        <v>1.6133000000000002</v>
      </c>
      <c r="E178" s="3">
        <v>7.3</v>
      </c>
      <c r="F178">
        <f t="shared" si="17"/>
        <v>0.31330000000000013</v>
      </c>
      <c r="G178">
        <f t="shared" si="18"/>
        <v>7.8325000000000033E-2</v>
      </c>
    </row>
    <row r="179" spans="1:7">
      <c r="A179" s="1">
        <v>20150712</v>
      </c>
      <c r="B179" s="1">
        <v>7</v>
      </c>
      <c r="C179" s="2">
        <f t="shared" si="15"/>
        <v>0.31330000000000013</v>
      </c>
      <c r="D179">
        <f t="shared" si="16"/>
        <v>1.6133000000000002</v>
      </c>
      <c r="E179" s="3">
        <v>7.3</v>
      </c>
      <c r="F179">
        <f t="shared" si="17"/>
        <v>0.31330000000000013</v>
      </c>
      <c r="G179">
        <f t="shared" si="18"/>
        <v>4.4757142857142877E-2</v>
      </c>
    </row>
    <row r="180" spans="1:7">
      <c r="A180" s="1">
        <v>20150712</v>
      </c>
      <c r="B180" s="1">
        <v>15</v>
      </c>
      <c r="C180" s="2">
        <f t="shared" si="15"/>
        <v>0.31330000000000013</v>
      </c>
      <c r="D180">
        <f t="shared" si="16"/>
        <v>1.6133000000000002</v>
      </c>
      <c r="E180" s="3">
        <v>7.3</v>
      </c>
      <c r="F180">
        <f t="shared" si="17"/>
        <v>0.31330000000000013</v>
      </c>
      <c r="G180">
        <f t="shared" si="18"/>
        <v>2.0886666666666675E-2</v>
      </c>
    </row>
    <row r="181" spans="1:7">
      <c r="A181" s="1">
        <v>20150712</v>
      </c>
      <c r="B181" s="1">
        <v>7</v>
      </c>
      <c r="C181" s="2">
        <f t="shared" si="15"/>
        <v>0.31330000000000013</v>
      </c>
      <c r="D181">
        <f t="shared" si="16"/>
        <v>1.6133000000000002</v>
      </c>
      <c r="E181" s="3">
        <v>7.3</v>
      </c>
      <c r="F181">
        <f t="shared" si="17"/>
        <v>0.31330000000000013</v>
      </c>
      <c r="G181">
        <f t="shared" si="18"/>
        <v>4.4757142857142877E-2</v>
      </c>
    </row>
    <row r="182" spans="1:7">
      <c r="A182" s="1">
        <v>20150712</v>
      </c>
      <c r="B182" s="1">
        <v>20</v>
      </c>
      <c r="C182" s="2">
        <f t="shared" si="15"/>
        <v>-0.32759999999999978</v>
      </c>
      <c r="D182">
        <f t="shared" si="16"/>
        <v>0.97240000000000026</v>
      </c>
      <c r="E182" s="3">
        <v>4.4000000000000004</v>
      </c>
      <c r="F182">
        <f t="shared" si="17"/>
        <v>-0.32759999999999978</v>
      </c>
      <c r="G182">
        <f t="shared" si="18"/>
        <v>-1.6379999999999988E-2</v>
      </c>
    </row>
    <row r="183" spans="1:7">
      <c r="A183" s="1">
        <v>20150712</v>
      </c>
      <c r="B183" s="1">
        <v>36</v>
      </c>
      <c r="C183" s="2">
        <f t="shared" si="15"/>
        <v>-0.32759999999999978</v>
      </c>
      <c r="D183">
        <f t="shared" si="16"/>
        <v>0.97240000000000026</v>
      </c>
      <c r="E183" s="3">
        <v>4.4000000000000004</v>
      </c>
      <c r="F183">
        <f t="shared" si="17"/>
        <v>-0.32759999999999978</v>
      </c>
      <c r="G183">
        <f t="shared" si="18"/>
        <v>-9.0999999999999935E-3</v>
      </c>
    </row>
    <row r="184" spans="1:7">
      <c r="A184" s="1">
        <v>20150712</v>
      </c>
      <c r="B184" s="1">
        <v>38</v>
      </c>
      <c r="C184" s="2">
        <f t="shared" si="15"/>
        <v>-0.32759999999999978</v>
      </c>
      <c r="D184">
        <f t="shared" si="16"/>
        <v>0.97240000000000026</v>
      </c>
      <c r="E184" s="3">
        <v>4.4000000000000004</v>
      </c>
      <c r="F184">
        <f t="shared" si="17"/>
        <v>-0.32759999999999978</v>
      </c>
      <c r="G184">
        <f t="shared" si="18"/>
        <v>-8.6210526315789408E-3</v>
      </c>
    </row>
    <row r="185" spans="1:7">
      <c r="A185" s="1">
        <v>20150712</v>
      </c>
      <c r="B185" s="1">
        <v>26</v>
      </c>
      <c r="C185" s="2">
        <f t="shared" si="15"/>
        <v>-0.32759999999999978</v>
      </c>
      <c r="D185">
        <f t="shared" si="16"/>
        <v>0.97240000000000026</v>
      </c>
      <c r="E185" s="3">
        <v>4.4000000000000004</v>
      </c>
      <c r="F185">
        <f t="shared" si="17"/>
        <v>-0.32759999999999978</v>
      </c>
      <c r="G185">
        <f t="shared" si="18"/>
        <v>-1.2599999999999991E-2</v>
      </c>
    </row>
    <row r="186" spans="1:7">
      <c r="A186" s="1">
        <v>20150712</v>
      </c>
      <c r="B186" s="1">
        <v>29</v>
      </c>
      <c r="C186" s="2">
        <f t="shared" si="15"/>
        <v>-0.32759999999999978</v>
      </c>
      <c r="D186">
        <f t="shared" si="16"/>
        <v>0.97240000000000026</v>
      </c>
      <c r="E186" s="3">
        <v>4.4000000000000004</v>
      </c>
      <c r="F186">
        <f t="shared" si="17"/>
        <v>-0.32759999999999978</v>
      </c>
      <c r="G186">
        <f t="shared" si="18"/>
        <v>-1.1296551724137923E-2</v>
      </c>
    </row>
    <row r="187" spans="1:7">
      <c r="A187" s="1">
        <v>20150712</v>
      </c>
      <c r="B187" s="1">
        <v>31</v>
      </c>
      <c r="C187" s="2">
        <f t="shared" ref="C187:C250" si="19">D187-$S$14</f>
        <v>-0.57069999999999999</v>
      </c>
      <c r="D187">
        <f t="shared" si="16"/>
        <v>0.72930000000000006</v>
      </c>
      <c r="E187" s="3">
        <v>3.3</v>
      </c>
      <c r="F187">
        <f t="shared" si="17"/>
        <v>-0.57069999999999999</v>
      </c>
      <c r="G187">
        <f t="shared" si="18"/>
        <v>-1.8409677419354838E-2</v>
      </c>
    </row>
    <row r="188" spans="1:7">
      <c r="A188" s="1">
        <v>20150712</v>
      </c>
      <c r="B188" s="1">
        <v>39</v>
      </c>
      <c r="C188" s="2">
        <f t="shared" si="19"/>
        <v>-0.57069999999999999</v>
      </c>
      <c r="D188">
        <f t="shared" si="16"/>
        <v>0.72930000000000006</v>
      </c>
      <c r="E188" s="3">
        <v>3.3</v>
      </c>
      <c r="F188">
        <f t="shared" si="17"/>
        <v>-0.57069999999999999</v>
      </c>
      <c r="G188">
        <f t="shared" si="18"/>
        <v>-1.4633333333333333E-2</v>
      </c>
    </row>
    <row r="189" spans="1:7">
      <c r="A189" s="1">
        <v>20150712</v>
      </c>
      <c r="B189" s="1">
        <v>40</v>
      </c>
      <c r="C189" s="2">
        <f t="shared" si="19"/>
        <v>-0.57069999999999999</v>
      </c>
      <c r="D189">
        <f t="shared" si="16"/>
        <v>0.72930000000000006</v>
      </c>
      <c r="E189" s="3">
        <v>3.3</v>
      </c>
      <c r="F189">
        <f t="shared" si="17"/>
        <v>-0.57069999999999999</v>
      </c>
      <c r="G189">
        <f t="shared" si="18"/>
        <v>-1.4267499999999999E-2</v>
      </c>
    </row>
    <row r="190" spans="1:7">
      <c r="A190" s="1">
        <v>20150712</v>
      </c>
      <c r="B190" s="1">
        <v>44</v>
      </c>
      <c r="C190" s="2">
        <f t="shared" si="19"/>
        <v>-0.57069999999999999</v>
      </c>
      <c r="D190">
        <f t="shared" si="16"/>
        <v>0.72930000000000006</v>
      </c>
      <c r="E190" s="3">
        <v>3.3</v>
      </c>
      <c r="F190">
        <f t="shared" si="17"/>
        <v>-0.57069999999999999</v>
      </c>
      <c r="G190">
        <f t="shared" si="18"/>
        <v>-1.2970454545454545E-2</v>
      </c>
    </row>
    <row r="191" spans="1:7">
      <c r="A191" s="1">
        <v>20150712</v>
      </c>
      <c r="B191" s="1">
        <v>39</v>
      </c>
      <c r="C191" s="2">
        <f t="shared" si="19"/>
        <v>-0.57069999999999999</v>
      </c>
      <c r="D191">
        <f t="shared" si="16"/>
        <v>0.72930000000000006</v>
      </c>
      <c r="E191" s="3">
        <v>3.3</v>
      </c>
      <c r="F191">
        <f t="shared" si="17"/>
        <v>-0.57069999999999999</v>
      </c>
      <c r="G191">
        <f t="shared" si="18"/>
        <v>-1.4633333333333333E-2</v>
      </c>
    </row>
    <row r="192" spans="1:7">
      <c r="A192" s="1">
        <v>20150712</v>
      </c>
      <c r="B192" s="1">
        <v>24</v>
      </c>
      <c r="C192" s="2">
        <f t="shared" si="19"/>
        <v>0.22490000000000032</v>
      </c>
      <c r="D192">
        <f t="shared" si="16"/>
        <v>1.5249000000000004</v>
      </c>
      <c r="E192" s="3">
        <v>6.9</v>
      </c>
      <c r="F192">
        <f t="shared" si="17"/>
        <v>0.22490000000000032</v>
      </c>
      <c r="G192">
        <f t="shared" si="18"/>
        <v>9.3708333333333473E-3</v>
      </c>
    </row>
    <row r="193" spans="1:7">
      <c r="A193" s="1">
        <v>20150712</v>
      </c>
      <c r="B193" s="1">
        <v>24</v>
      </c>
      <c r="C193" s="2">
        <f t="shared" si="19"/>
        <v>0.22490000000000032</v>
      </c>
      <c r="D193">
        <f t="shared" si="16"/>
        <v>1.5249000000000004</v>
      </c>
      <c r="E193" s="3">
        <v>6.9</v>
      </c>
      <c r="F193">
        <f t="shared" si="17"/>
        <v>0.22490000000000032</v>
      </c>
      <c r="G193">
        <f t="shared" si="18"/>
        <v>9.3708333333333473E-3</v>
      </c>
    </row>
    <row r="194" spans="1:7">
      <c r="A194" s="1">
        <v>20150712</v>
      </c>
      <c r="B194" s="1">
        <v>23</v>
      </c>
      <c r="C194" s="2">
        <f t="shared" si="19"/>
        <v>0.22490000000000032</v>
      </c>
      <c r="D194">
        <f t="shared" ref="D194:D257" si="20">0.17*($H$2/12)*E194</f>
        <v>1.5249000000000004</v>
      </c>
      <c r="E194" s="3">
        <v>6.9</v>
      </c>
      <c r="F194">
        <f t="shared" si="17"/>
        <v>0.22490000000000032</v>
      </c>
      <c r="G194">
        <f t="shared" si="18"/>
        <v>9.778260869565231E-3</v>
      </c>
    </row>
    <row r="195" spans="1:7">
      <c r="A195" s="1">
        <v>20150712</v>
      </c>
      <c r="B195" s="1">
        <v>22</v>
      </c>
      <c r="C195" s="2">
        <f t="shared" si="19"/>
        <v>0.22490000000000032</v>
      </c>
      <c r="D195">
        <f t="shared" si="20"/>
        <v>1.5249000000000004</v>
      </c>
      <c r="E195" s="3">
        <v>6.9</v>
      </c>
      <c r="F195">
        <f t="shared" si="17"/>
        <v>0.22490000000000032</v>
      </c>
      <c r="G195">
        <f t="shared" si="18"/>
        <v>1.0222727272727288E-2</v>
      </c>
    </row>
    <row r="196" spans="1:7">
      <c r="A196" s="1">
        <v>20150712</v>
      </c>
      <c r="B196" s="1">
        <v>26</v>
      </c>
      <c r="C196" s="2">
        <f t="shared" si="19"/>
        <v>0.22490000000000032</v>
      </c>
      <c r="D196">
        <f t="shared" si="20"/>
        <v>1.5249000000000004</v>
      </c>
      <c r="E196" s="3">
        <v>6.9</v>
      </c>
      <c r="F196">
        <f t="shared" si="17"/>
        <v>0.22490000000000032</v>
      </c>
      <c r="G196">
        <f t="shared" si="18"/>
        <v>8.6500000000000118E-3</v>
      </c>
    </row>
    <row r="197" spans="1:7">
      <c r="A197" s="1">
        <v>20150712</v>
      </c>
      <c r="B197" s="1">
        <v>22</v>
      </c>
      <c r="C197" s="2">
        <f t="shared" si="19"/>
        <v>0.53430000000000044</v>
      </c>
      <c r="D197">
        <f t="shared" si="20"/>
        <v>1.8343000000000005</v>
      </c>
      <c r="E197" s="3">
        <v>8.3000000000000007</v>
      </c>
      <c r="F197">
        <f t="shared" si="17"/>
        <v>0.53430000000000044</v>
      </c>
      <c r="G197">
        <f t="shared" si="18"/>
        <v>2.4286363636363658E-2</v>
      </c>
    </row>
    <row r="198" spans="1:7">
      <c r="A198" s="1">
        <v>20150712</v>
      </c>
      <c r="B198" s="1">
        <v>17</v>
      </c>
      <c r="C198" s="2">
        <f t="shared" si="19"/>
        <v>0.53430000000000044</v>
      </c>
      <c r="D198">
        <f t="shared" si="20"/>
        <v>1.8343000000000005</v>
      </c>
      <c r="E198" s="3">
        <v>8.3000000000000007</v>
      </c>
      <c r="F198">
        <f t="shared" si="17"/>
        <v>0.53430000000000044</v>
      </c>
      <c r="G198">
        <f t="shared" si="18"/>
        <v>3.1429411764705907E-2</v>
      </c>
    </row>
    <row r="199" spans="1:7">
      <c r="A199" s="1">
        <v>20150712</v>
      </c>
      <c r="B199" s="1">
        <v>24</v>
      </c>
      <c r="C199" s="2">
        <f t="shared" si="19"/>
        <v>0.53430000000000044</v>
      </c>
      <c r="D199">
        <f t="shared" si="20"/>
        <v>1.8343000000000005</v>
      </c>
      <c r="E199" s="3">
        <v>8.3000000000000007</v>
      </c>
      <c r="F199">
        <f t="shared" si="17"/>
        <v>0.53430000000000044</v>
      </c>
      <c r="G199">
        <f t="shared" si="18"/>
        <v>2.2262500000000018E-2</v>
      </c>
    </row>
    <row r="200" spans="1:7">
      <c r="A200" s="1">
        <v>20150712</v>
      </c>
      <c r="B200" s="1">
        <v>31</v>
      </c>
      <c r="C200" s="2">
        <f t="shared" si="19"/>
        <v>0.53430000000000044</v>
      </c>
      <c r="D200">
        <f t="shared" si="20"/>
        <v>1.8343000000000005</v>
      </c>
      <c r="E200" s="3">
        <v>8.3000000000000007</v>
      </c>
      <c r="F200">
        <f t="shared" si="17"/>
        <v>0.53430000000000044</v>
      </c>
      <c r="G200">
        <f t="shared" si="18"/>
        <v>1.7235483870967756E-2</v>
      </c>
    </row>
    <row r="201" spans="1:7">
      <c r="A201" s="1">
        <v>20150712</v>
      </c>
      <c r="B201" s="1">
        <v>32</v>
      </c>
      <c r="C201" s="2">
        <f t="shared" si="19"/>
        <v>0.53430000000000044</v>
      </c>
      <c r="D201">
        <f t="shared" si="20"/>
        <v>1.8343000000000005</v>
      </c>
      <c r="E201" s="3">
        <v>8.3000000000000007</v>
      </c>
      <c r="F201">
        <f t="shared" si="17"/>
        <v>0.53430000000000044</v>
      </c>
      <c r="G201">
        <f t="shared" si="18"/>
        <v>1.6696875000000014E-2</v>
      </c>
    </row>
    <row r="202" spans="1:7">
      <c r="A202" s="1">
        <v>20150712</v>
      </c>
      <c r="B202" s="1">
        <v>22</v>
      </c>
      <c r="C202" s="2">
        <f t="shared" si="19"/>
        <v>1.0426</v>
      </c>
      <c r="D202">
        <f t="shared" si="20"/>
        <v>2.3426</v>
      </c>
      <c r="E202" s="3">
        <v>10.6</v>
      </c>
      <c r="F202">
        <f t="shared" si="17"/>
        <v>1.0426</v>
      </c>
      <c r="G202">
        <f t="shared" si="18"/>
        <v>4.7390909090909088E-2</v>
      </c>
    </row>
    <row r="203" spans="1:7">
      <c r="A203" s="1">
        <v>20150712</v>
      </c>
      <c r="B203" s="1">
        <v>25</v>
      </c>
      <c r="C203" s="2">
        <f t="shared" si="19"/>
        <v>1.0426</v>
      </c>
      <c r="D203">
        <f t="shared" si="20"/>
        <v>2.3426</v>
      </c>
      <c r="E203" s="3">
        <v>10.6</v>
      </c>
      <c r="F203">
        <f t="shared" si="17"/>
        <v>1.0426</v>
      </c>
      <c r="G203">
        <f t="shared" si="18"/>
        <v>4.1703999999999998E-2</v>
      </c>
    </row>
    <row r="204" spans="1:7">
      <c r="A204" s="1">
        <v>20150712</v>
      </c>
      <c r="B204" s="1">
        <v>40</v>
      </c>
      <c r="C204" s="2">
        <f t="shared" si="19"/>
        <v>1.0426</v>
      </c>
      <c r="D204">
        <f t="shared" si="20"/>
        <v>2.3426</v>
      </c>
      <c r="E204" s="3">
        <v>10.6</v>
      </c>
      <c r="F204">
        <f t="shared" si="17"/>
        <v>1.0426</v>
      </c>
      <c r="G204">
        <f t="shared" si="18"/>
        <v>2.6064999999999998E-2</v>
      </c>
    </row>
    <row r="205" spans="1:7">
      <c r="A205" s="1">
        <v>20150712</v>
      </c>
      <c r="B205" s="1">
        <v>30</v>
      </c>
      <c r="C205" s="2">
        <f t="shared" si="19"/>
        <v>1.0426</v>
      </c>
      <c r="D205">
        <f t="shared" si="20"/>
        <v>2.3426</v>
      </c>
      <c r="E205" s="3">
        <v>10.6</v>
      </c>
      <c r="F205">
        <f t="shared" si="17"/>
        <v>1.0426</v>
      </c>
      <c r="G205">
        <f t="shared" si="18"/>
        <v>3.4753333333333331E-2</v>
      </c>
    </row>
    <row r="206" spans="1:7">
      <c r="A206" s="1">
        <v>20150712</v>
      </c>
      <c r="B206" s="1">
        <v>27</v>
      </c>
      <c r="C206" s="2">
        <f t="shared" si="19"/>
        <v>1.0426</v>
      </c>
      <c r="D206">
        <f t="shared" si="20"/>
        <v>2.3426</v>
      </c>
      <c r="E206" s="3">
        <v>10.6</v>
      </c>
      <c r="F206">
        <f t="shared" si="17"/>
        <v>1.0426</v>
      </c>
      <c r="G206">
        <f t="shared" si="18"/>
        <v>3.8614814814814817E-2</v>
      </c>
    </row>
    <row r="207" spans="1:7">
      <c r="A207" s="1">
        <v>20150712</v>
      </c>
      <c r="B207" s="1">
        <v>36</v>
      </c>
      <c r="C207" s="2">
        <f t="shared" si="19"/>
        <v>0.31330000000000013</v>
      </c>
      <c r="D207">
        <f t="shared" si="20"/>
        <v>1.6133000000000002</v>
      </c>
      <c r="E207" s="3">
        <v>7.3</v>
      </c>
      <c r="F207">
        <f t="shared" si="17"/>
        <v>0.31330000000000013</v>
      </c>
      <c r="G207">
        <f t="shared" si="18"/>
        <v>8.7027777777777815E-3</v>
      </c>
    </row>
    <row r="208" spans="1:7">
      <c r="A208" s="1">
        <v>20150712</v>
      </c>
      <c r="B208" s="1">
        <v>33</v>
      </c>
      <c r="C208" s="2">
        <f t="shared" si="19"/>
        <v>0.31330000000000013</v>
      </c>
      <c r="D208">
        <f t="shared" si="20"/>
        <v>1.6133000000000002</v>
      </c>
      <c r="E208" s="3">
        <v>7.3</v>
      </c>
      <c r="F208">
        <f t="shared" si="17"/>
        <v>0.31330000000000013</v>
      </c>
      <c r="G208">
        <f t="shared" si="18"/>
        <v>9.4939393939393983E-3</v>
      </c>
    </row>
    <row r="209" spans="1:7">
      <c r="A209" s="1">
        <v>20150712</v>
      </c>
      <c r="B209" s="1">
        <v>23</v>
      </c>
      <c r="C209" s="2">
        <f t="shared" si="19"/>
        <v>0.31330000000000013</v>
      </c>
      <c r="D209">
        <f t="shared" si="20"/>
        <v>1.6133000000000002</v>
      </c>
      <c r="E209" s="3">
        <v>7.3</v>
      </c>
      <c r="F209">
        <f t="shared" si="17"/>
        <v>0.31330000000000013</v>
      </c>
      <c r="G209">
        <f t="shared" si="18"/>
        <v>1.3621739130434789E-2</v>
      </c>
    </row>
    <row r="210" spans="1:7">
      <c r="A210" s="1">
        <v>20150712</v>
      </c>
      <c r="B210" s="1">
        <v>30</v>
      </c>
      <c r="C210" s="2">
        <f t="shared" si="19"/>
        <v>0.31330000000000013</v>
      </c>
      <c r="D210">
        <f t="shared" si="20"/>
        <v>1.6133000000000002</v>
      </c>
      <c r="E210" s="3">
        <v>7.3</v>
      </c>
      <c r="F210">
        <f t="shared" si="17"/>
        <v>0.31330000000000013</v>
      </c>
      <c r="G210">
        <f t="shared" si="18"/>
        <v>1.0443333333333337E-2</v>
      </c>
    </row>
    <row r="211" spans="1:7">
      <c r="A211" s="1">
        <v>20150712</v>
      </c>
      <c r="B211" s="1">
        <v>37</v>
      </c>
      <c r="C211" s="2">
        <f t="shared" si="19"/>
        <v>0.31330000000000013</v>
      </c>
      <c r="D211">
        <f t="shared" si="20"/>
        <v>1.6133000000000002</v>
      </c>
      <c r="E211" s="3">
        <v>7.3</v>
      </c>
      <c r="F211">
        <f t="shared" si="17"/>
        <v>0.31330000000000013</v>
      </c>
      <c r="G211">
        <f t="shared" si="18"/>
        <v>8.4675675675675716E-3</v>
      </c>
    </row>
    <row r="212" spans="1:7">
      <c r="A212" s="1">
        <v>20150712</v>
      </c>
      <c r="B212" s="1">
        <v>17</v>
      </c>
      <c r="C212" s="2">
        <f t="shared" si="19"/>
        <v>0.7553000000000003</v>
      </c>
      <c r="D212">
        <f t="shared" si="20"/>
        <v>2.0553000000000003</v>
      </c>
      <c r="E212" s="3">
        <v>9.3000000000000007</v>
      </c>
      <c r="F212">
        <f t="shared" si="17"/>
        <v>0.7553000000000003</v>
      </c>
      <c r="G212">
        <f t="shared" si="18"/>
        <v>4.4429411764705898E-2</v>
      </c>
    </row>
    <row r="213" spans="1:7">
      <c r="A213" s="1">
        <v>20150712</v>
      </c>
      <c r="B213" s="1">
        <v>17</v>
      </c>
      <c r="C213" s="2">
        <f t="shared" si="19"/>
        <v>0.7553000000000003</v>
      </c>
      <c r="D213">
        <f t="shared" si="20"/>
        <v>2.0553000000000003</v>
      </c>
      <c r="E213" s="3">
        <v>9.3000000000000007</v>
      </c>
      <c r="F213">
        <f t="shared" si="17"/>
        <v>0.7553000000000003</v>
      </c>
      <c r="G213">
        <f t="shared" si="18"/>
        <v>4.4429411764705898E-2</v>
      </c>
    </row>
    <row r="214" spans="1:7">
      <c r="A214" s="1">
        <v>20150712</v>
      </c>
      <c r="B214" s="1">
        <v>20</v>
      </c>
      <c r="C214" s="2">
        <f t="shared" si="19"/>
        <v>0.7553000000000003</v>
      </c>
      <c r="D214">
        <f t="shared" si="20"/>
        <v>2.0553000000000003</v>
      </c>
      <c r="E214" s="3">
        <v>9.3000000000000007</v>
      </c>
      <c r="F214">
        <f t="shared" si="17"/>
        <v>0.7553000000000003</v>
      </c>
      <c r="G214">
        <f t="shared" si="18"/>
        <v>3.7765000000000014E-2</v>
      </c>
    </row>
    <row r="215" spans="1:7">
      <c r="A215" s="1">
        <v>20150712</v>
      </c>
      <c r="B215" s="1">
        <v>18</v>
      </c>
      <c r="C215" s="2">
        <f t="shared" si="19"/>
        <v>0.7553000000000003</v>
      </c>
      <c r="D215">
        <f t="shared" si="20"/>
        <v>2.0553000000000003</v>
      </c>
      <c r="E215" s="3">
        <v>9.3000000000000007</v>
      </c>
      <c r="F215">
        <f t="shared" si="17"/>
        <v>0.7553000000000003</v>
      </c>
      <c r="G215">
        <f t="shared" si="18"/>
        <v>4.196111111111113E-2</v>
      </c>
    </row>
    <row r="216" spans="1:7">
      <c r="A216" s="1">
        <v>20150712</v>
      </c>
      <c r="B216" s="1">
        <v>13</v>
      </c>
      <c r="C216" s="2">
        <f t="shared" si="19"/>
        <v>0.7553000000000003</v>
      </c>
      <c r="D216">
        <f t="shared" si="20"/>
        <v>2.0553000000000003</v>
      </c>
      <c r="E216" s="3">
        <v>9.3000000000000007</v>
      </c>
      <c r="F216">
        <f t="shared" si="17"/>
        <v>0.7553000000000003</v>
      </c>
      <c r="G216">
        <f t="shared" si="18"/>
        <v>5.8100000000000027E-2</v>
      </c>
    </row>
    <row r="217" spans="1:7">
      <c r="A217" s="1">
        <v>20150712</v>
      </c>
      <c r="B217" s="1">
        <v>6</v>
      </c>
      <c r="C217" s="2">
        <f t="shared" si="19"/>
        <v>1.5067000000000002</v>
      </c>
      <c r="D217">
        <f t="shared" si="20"/>
        <v>2.8067000000000002</v>
      </c>
      <c r="E217" s="3">
        <v>12.7</v>
      </c>
      <c r="F217">
        <f t="shared" si="17"/>
        <v>1.5067000000000002</v>
      </c>
      <c r="G217">
        <f t="shared" si="18"/>
        <v>0.25111666666666671</v>
      </c>
    </row>
    <row r="218" spans="1:7">
      <c r="A218" s="1">
        <v>20150712</v>
      </c>
      <c r="B218" s="1">
        <v>7</v>
      </c>
      <c r="C218" s="2">
        <f t="shared" si="19"/>
        <v>1.5067000000000002</v>
      </c>
      <c r="D218">
        <f t="shared" si="20"/>
        <v>2.8067000000000002</v>
      </c>
      <c r="E218" s="3">
        <v>12.7</v>
      </c>
      <c r="F218">
        <f t="shared" si="17"/>
        <v>1.5067000000000002</v>
      </c>
      <c r="G218">
        <f t="shared" si="18"/>
        <v>0.21524285714285715</v>
      </c>
    </row>
    <row r="219" spans="1:7">
      <c r="A219" s="1">
        <v>20150712</v>
      </c>
      <c r="B219" s="1">
        <v>10</v>
      </c>
      <c r="C219" s="2">
        <f t="shared" si="19"/>
        <v>1.5067000000000002</v>
      </c>
      <c r="D219">
        <f t="shared" si="20"/>
        <v>2.8067000000000002</v>
      </c>
      <c r="E219" s="3">
        <v>12.7</v>
      </c>
      <c r="F219">
        <f t="shared" si="17"/>
        <v>1.5067000000000002</v>
      </c>
      <c r="G219">
        <f t="shared" si="18"/>
        <v>0.15067000000000003</v>
      </c>
    </row>
    <row r="220" spans="1:7">
      <c r="A220" s="1">
        <v>20150712</v>
      </c>
      <c r="B220" s="1">
        <v>22</v>
      </c>
      <c r="C220" s="2">
        <f t="shared" si="19"/>
        <v>1.5067000000000002</v>
      </c>
      <c r="D220">
        <f t="shared" si="20"/>
        <v>2.8067000000000002</v>
      </c>
      <c r="E220" s="3">
        <v>12.7</v>
      </c>
      <c r="F220">
        <f t="shared" si="17"/>
        <v>1.5067000000000002</v>
      </c>
      <c r="G220">
        <f t="shared" si="18"/>
        <v>6.8486363636363637E-2</v>
      </c>
    </row>
    <row r="221" spans="1:7">
      <c r="A221" s="1">
        <v>20150712</v>
      </c>
      <c r="B221" s="1">
        <v>6</v>
      </c>
      <c r="C221" s="2">
        <f t="shared" si="19"/>
        <v>1.5067000000000002</v>
      </c>
      <c r="D221">
        <f t="shared" si="20"/>
        <v>2.8067000000000002</v>
      </c>
      <c r="E221" s="3">
        <v>12.7</v>
      </c>
      <c r="F221">
        <f t="shared" si="17"/>
        <v>1.5067000000000002</v>
      </c>
      <c r="G221">
        <f t="shared" si="18"/>
        <v>0.25111666666666671</v>
      </c>
    </row>
    <row r="222" spans="1:7">
      <c r="A222" s="1">
        <v>20150712</v>
      </c>
      <c r="B222" s="1">
        <v>4</v>
      </c>
      <c r="C222" s="2">
        <f t="shared" si="19"/>
        <v>0.82160000000000033</v>
      </c>
      <c r="D222">
        <f t="shared" si="20"/>
        <v>2.1216000000000004</v>
      </c>
      <c r="E222" s="3">
        <v>9.6</v>
      </c>
      <c r="F222">
        <f t="shared" si="17"/>
        <v>0.82160000000000033</v>
      </c>
      <c r="G222">
        <f t="shared" si="18"/>
        <v>0.20540000000000008</v>
      </c>
    </row>
    <row r="223" spans="1:7">
      <c r="A223" s="1">
        <v>20150712</v>
      </c>
      <c r="B223" s="1">
        <v>4</v>
      </c>
      <c r="C223" s="2">
        <f t="shared" si="19"/>
        <v>0.82160000000000033</v>
      </c>
      <c r="D223">
        <f t="shared" si="20"/>
        <v>2.1216000000000004</v>
      </c>
      <c r="E223" s="3">
        <v>9.6</v>
      </c>
      <c r="F223">
        <f t="shared" si="17"/>
        <v>0.82160000000000033</v>
      </c>
      <c r="G223">
        <f t="shared" si="18"/>
        <v>0.20540000000000008</v>
      </c>
    </row>
    <row r="224" spans="1:7">
      <c r="A224" s="1">
        <v>20150712</v>
      </c>
      <c r="B224" s="1">
        <v>7</v>
      </c>
      <c r="C224" s="2">
        <f t="shared" si="19"/>
        <v>0.82160000000000033</v>
      </c>
      <c r="D224">
        <f t="shared" si="20"/>
        <v>2.1216000000000004</v>
      </c>
      <c r="E224" s="3">
        <v>9.6</v>
      </c>
      <c r="F224">
        <f t="shared" si="17"/>
        <v>0.82160000000000033</v>
      </c>
      <c r="G224">
        <f t="shared" si="18"/>
        <v>0.11737142857142861</v>
      </c>
    </row>
    <row r="225" spans="1:7">
      <c r="A225" s="1">
        <v>20150712</v>
      </c>
      <c r="B225" s="1">
        <v>9</v>
      </c>
      <c r="C225" s="2">
        <f t="shared" si="19"/>
        <v>0.82160000000000033</v>
      </c>
      <c r="D225">
        <f t="shared" si="20"/>
        <v>2.1216000000000004</v>
      </c>
      <c r="E225" s="3">
        <v>9.6</v>
      </c>
      <c r="F225">
        <f t="shared" si="17"/>
        <v>0.82160000000000033</v>
      </c>
      <c r="G225">
        <f t="shared" si="18"/>
        <v>9.1288888888888919E-2</v>
      </c>
    </row>
    <row r="226" spans="1:7">
      <c r="A226" s="1">
        <v>20150712</v>
      </c>
      <c r="B226" s="1">
        <v>5</v>
      </c>
      <c r="C226" s="2">
        <f t="shared" si="19"/>
        <v>0.82160000000000033</v>
      </c>
      <c r="D226">
        <f t="shared" si="20"/>
        <v>2.1216000000000004</v>
      </c>
      <c r="E226" s="3">
        <v>9.6</v>
      </c>
      <c r="F226">
        <f t="shared" si="17"/>
        <v>0.82160000000000033</v>
      </c>
      <c r="G226">
        <f t="shared" si="18"/>
        <v>0.16432000000000008</v>
      </c>
    </row>
    <row r="227" spans="1:7">
      <c r="A227" s="1">
        <v>20150712</v>
      </c>
      <c r="B227" s="1">
        <v>10</v>
      </c>
      <c r="C227" s="2">
        <f t="shared" si="19"/>
        <v>1.2857000000000001</v>
      </c>
      <c r="D227">
        <f t="shared" si="20"/>
        <v>2.5857000000000001</v>
      </c>
      <c r="E227" s="3">
        <v>11.7</v>
      </c>
      <c r="F227">
        <f t="shared" si="17"/>
        <v>1.2857000000000001</v>
      </c>
      <c r="G227">
        <f t="shared" si="18"/>
        <v>0.12857000000000002</v>
      </c>
    </row>
    <row r="228" spans="1:7">
      <c r="A228" s="1">
        <v>20150712</v>
      </c>
      <c r="B228" s="1">
        <v>19</v>
      </c>
      <c r="C228" s="2">
        <f t="shared" si="19"/>
        <v>1.2857000000000001</v>
      </c>
      <c r="D228">
        <f t="shared" si="20"/>
        <v>2.5857000000000001</v>
      </c>
      <c r="E228" s="3">
        <v>11.7</v>
      </c>
      <c r="F228">
        <f t="shared" si="17"/>
        <v>1.2857000000000001</v>
      </c>
      <c r="G228">
        <f t="shared" si="18"/>
        <v>6.7668421052631586E-2</v>
      </c>
    </row>
    <row r="229" spans="1:7">
      <c r="A229" s="1">
        <v>20150712</v>
      </c>
      <c r="B229" s="1">
        <v>20</v>
      </c>
      <c r="C229" s="2">
        <f t="shared" si="19"/>
        <v>1.2857000000000001</v>
      </c>
      <c r="D229">
        <f t="shared" si="20"/>
        <v>2.5857000000000001</v>
      </c>
      <c r="E229" s="3">
        <v>11.7</v>
      </c>
      <c r="F229">
        <f t="shared" si="17"/>
        <v>1.2857000000000001</v>
      </c>
      <c r="G229">
        <f t="shared" si="18"/>
        <v>6.4285000000000009E-2</v>
      </c>
    </row>
    <row r="230" spans="1:7">
      <c r="A230" s="1">
        <v>20150712</v>
      </c>
      <c r="B230" s="1">
        <v>16</v>
      </c>
      <c r="C230" s="2">
        <f t="shared" si="19"/>
        <v>1.2857000000000001</v>
      </c>
      <c r="D230">
        <f t="shared" si="20"/>
        <v>2.5857000000000001</v>
      </c>
      <c r="E230" s="3">
        <v>11.7</v>
      </c>
      <c r="F230">
        <f t="shared" si="17"/>
        <v>1.2857000000000001</v>
      </c>
      <c r="G230">
        <f t="shared" si="18"/>
        <v>8.0356250000000004E-2</v>
      </c>
    </row>
    <row r="231" spans="1:7">
      <c r="A231" s="1">
        <v>20150712</v>
      </c>
      <c r="B231" s="1">
        <v>12</v>
      </c>
      <c r="C231" s="2">
        <f t="shared" si="19"/>
        <v>1.2857000000000001</v>
      </c>
      <c r="D231">
        <f t="shared" si="20"/>
        <v>2.5857000000000001</v>
      </c>
      <c r="E231" s="3">
        <v>11.7</v>
      </c>
      <c r="F231">
        <f t="shared" si="17"/>
        <v>1.2857000000000001</v>
      </c>
      <c r="G231">
        <f t="shared" si="18"/>
        <v>0.10714166666666668</v>
      </c>
    </row>
    <row r="232" spans="1:7">
      <c r="A232" s="1">
        <v>20150712</v>
      </c>
      <c r="B232" s="1">
        <v>30</v>
      </c>
      <c r="C232" s="2">
        <f t="shared" si="19"/>
        <v>0.7553000000000003</v>
      </c>
      <c r="D232">
        <f t="shared" si="20"/>
        <v>2.0553000000000003</v>
      </c>
      <c r="E232" s="3">
        <v>9.3000000000000007</v>
      </c>
      <c r="F232">
        <f t="shared" si="17"/>
        <v>0.7553000000000003</v>
      </c>
      <c r="G232">
        <f t="shared" si="18"/>
        <v>2.5176666666666677E-2</v>
      </c>
    </row>
    <row r="233" spans="1:7">
      <c r="A233" s="1">
        <v>20150712</v>
      </c>
      <c r="B233" s="1">
        <v>27</v>
      </c>
      <c r="C233" s="2">
        <f t="shared" si="19"/>
        <v>0.7553000000000003</v>
      </c>
      <c r="D233">
        <f t="shared" si="20"/>
        <v>2.0553000000000003</v>
      </c>
      <c r="E233" s="3">
        <v>9.3000000000000007</v>
      </c>
      <c r="F233">
        <f t="shared" ref="F233:F296" si="21">C233</f>
        <v>0.7553000000000003</v>
      </c>
      <c r="G233">
        <f t="shared" ref="G233:G296" si="22">F233/B233</f>
        <v>2.7974074074074085E-2</v>
      </c>
    </row>
    <row r="234" spans="1:7">
      <c r="A234" s="1">
        <v>20150712</v>
      </c>
      <c r="B234" s="1">
        <v>31</v>
      </c>
      <c r="C234" s="2">
        <f t="shared" si="19"/>
        <v>0.7553000000000003</v>
      </c>
      <c r="D234">
        <f t="shared" si="20"/>
        <v>2.0553000000000003</v>
      </c>
      <c r="E234" s="3">
        <v>9.3000000000000007</v>
      </c>
      <c r="F234">
        <f t="shared" si="21"/>
        <v>0.7553000000000003</v>
      </c>
      <c r="G234">
        <f t="shared" si="22"/>
        <v>2.4364516129032267E-2</v>
      </c>
    </row>
    <row r="235" spans="1:7">
      <c r="A235" s="1">
        <v>20150712</v>
      </c>
      <c r="B235" s="1">
        <v>20</v>
      </c>
      <c r="C235" s="2">
        <f t="shared" si="19"/>
        <v>0.7553000000000003</v>
      </c>
      <c r="D235">
        <f t="shared" si="20"/>
        <v>2.0553000000000003</v>
      </c>
      <c r="E235" s="3">
        <v>9.3000000000000007</v>
      </c>
      <c r="F235">
        <f t="shared" si="21"/>
        <v>0.7553000000000003</v>
      </c>
      <c r="G235">
        <f t="shared" si="22"/>
        <v>3.7765000000000014E-2</v>
      </c>
    </row>
    <row r="236" spans="1:7">
      <c r="A236" s="1">
        <v>20150712</v>
      </c>
      <c r="B236" s="1">
        <v>24</v>
      </c>
      <c r="C236" s="2">
        <f t="shared" si="19"/>
        <v>0.7553000000000003</v>
      </c>
      <c r="D236">
        <f t="shared" si="20"/>
        <v>2.0553000000000003</v>
      </c>
      <c r="E236" s="3">
        <v>9.3000000000000007</v>
      </c>
      <c r="F236">
        <f t="shared" si="21"/>
        <v>0.7553000000000003</v>
      </c>
      <c r="G236">
        <f t="shared" si="22"/>
        <v>3.1470833333333344E-2</v>
      </c>
    </row>
    <row r="237" spans="1:7">
      <c r="A237" s="1">
        <v>20150712</v>
      </c>
      <c r="B237" s="1">
        <v>8</v>
      </c>
      <c r="C237" s="2">
        <f t="shared" si="19"/>
        <v>1.5067000000000002</v>
      </c>
      <c r="D237">
        <f t="shared" si="20"/>
        <v>2.8067000000000002</v>
      </c>
      <c r="E237" s="3">
        <v>12.7</v>
      </c>
      <c r="F237">
        <f t="shared" si="21"/>
        <v>1.5067000000000002</v>
      </c>
      <c r="G237">
        <f t="shared" si="22"/>
        <v>0.18833750000000002</v>
      </c>
    </row>
    <row r="238" spans="1:7">
      <c r="A238" s="1">
        <v>20150712</v>
      </c>
      <c r="B238" s="1">
        <v>17</v>
      </c>
      <c r="C238" s="2">
        <f t="shared" si="19"/>
        <v>1.5067000000000002</v>
      </c>
      <c r="D238">
        <f t="shared" si="20"/>
        <v>2.8067000000000002</v>
      </c>
      <c r="E238" s="3">
        <v>12.7</v>
      </c>
      <c r="F238">
        <f t="shared" si="21"/>
        <v>1.5067000000000002</v>
      </c>
      <c r="G238">
        <f t="shared" si="22"/>
        <v>8.8629411764705887E-2</v>
      </c>
    </row>
    <row r="239" spans="1:7">
      <c r="A239" s="1">
        <v>20150712</v>
      </c>
      <c r="B239" s="1">
        <v>9</v>
      </c>
      <c r="C239" s="2">
        <f t="shared" si="19"/>
        <v>1.5067000000000002</v>
      </c>
      <c r="D239">
        <f t="shared" si="20"/>
        <v>2.8067000000000002</v>
      </c>
      <c r="E239" s="3">
        <v>12.7</v>
      </c>
      <c r="F239">
        <f t="shared" si="21"/>
        <v>1.5067000000000002</v>
      </c>
      <c r="G239">
        <f t="shared" si="22"/>
        <v>0.16741111111111112</v>
      </c>
    </row>
    <row r="240" spans="1:7">
      <c r="A240" s="1">
        <v>20150712</v>
      </c>
      <c r="B240" s="1">
        <v>14</v>
      </c>
      <c r="C240" s="2">
        <f t="shared" si="19"/>
        <v>1.5067000000000002</v>
      </c>
      <c r="D240">
        <f t="shared" si="20"/>
        <v>2.8067000000000002</v>
      </c>
      <c r="E240" s="3">
        <v>12.7</v>
      </c>
      <c r="F240">
        <f t="shared" si="21"/>
        <v>1.5067000000000002</v>
      </c>
      <c r="G240">
        <f t="shared" si="22"/>
        <v>0.10762142857142858</v>
      </c>
    </row>
    <row r="241" spans="1:7">
      <c r="A241" s="1">
        <v>20150712</v>
      </c>
      <c r="B241" s="1">
        <v>12</v>
      </c>
      <c r="C241" s="2">
        <f t="shared" si="19"/>
        <v>1.5067000000000002</v>
      </c>
      <c r="D241">
        <f t="shared" si="20"/>
        <v>2.8067000000000002</v>
      </c>
      <c r="E241" s="3">
        <v>12.7</v>
      </c>
      <c r="F241">
        <f t="shared" si="21"/>
        <v>1.5067000000000002</v>
      </c>
      <c r="G241">
        <f t="shared" si="22"/>
        <v>0.12555833333333336</v>
      </c>
    </row>
    <row r="242" spans="1:7">
      <c r="A242" s="1">
        <v>20150712</v>
      </c>
      <c r="B242" s="1">
        <v>6</v>
      </c>
      <c r="C242" s="2">
        <f t="shared" si="19"/>
        <v>0.82160000000000033</v>
      </c>
      <c r="D242">
        <f t="shared" si="20"/>
        <v>2.1216000000000004</v>
      </c>
      <c r="E242" s="3">
        <v>9.6</v>
      </c>
      <c r="F242">
        <f t="shared" si="21"/>
        <v>0.82160000000000033</v>
      </c>
      <c r="G242">
        <f t="shared" si="22"/>
        <v>0.13693333333333338</v>
      </c>
    </row>
    <row r="243" spans="1:7">
      <c r="A243" s="1">
        <v>20150712</v>
      </c>
      <c r="B243" s="1">
        <v>7</v>
      </c>
      <c r="C243" s="2">
        <f t="shared" si="19"/>
        <v>0.82160000000000033</v>
      </c>
      <c r="D243">
        <f t="shared" si="20"/>
        <v>2.1216000000000004</v>
      </c>
      <c r="E243" s="3">
        <v>9.6</v>
      </c>
      <c r="F243">
        <f t="shared" si="21"/>
        <v>0.82160000000000033</v>
      </c>
      <c r="G243">
        <f t="shared" si="22"/>
        <v>0.11737142857142861</v>
      </c>
    </row>
    <row r="244" spans="1:7">
      <c r="A244" s="1">
        <v>20150712</v>
      </c>
      <c r="B244" s="1">
        <v>9</v>
      </c>
      <c r="C244" s="2">
        <f t="shared" si="19"/>
        <v>0.82160000000000033</v>
      </c>
      <c r="D244">
        <f t="shared" si="20"/>
        <v>2.1216000000000004</v>
      </c>
      <c r="E244" s="3">
        <v>9.6</v>
      </c>
      <c r="F244">
        <f t="shared" si="21"/>
        <v>0.82160000000000033</v>
      </c>
      <c r="G244">
        <f t="shared" si="22"/>
        <v>9.1288888888888919E-2</v>
      </c>
    </row>
    <row r="245" spans="1:7">
      <c r="A245" s="1">
        <v>20150712</v>
      </c>
      <c r="B245" s="1">
        <v>10</v>
      </c>
      <c r="C245" s="2">
        <f t="shared" si="19"/>
        <v>0.82160000000000033</v>
      </c>
      <c r="D245">
        <f t="shared" si="20"/>
        <v>2.1216000000000004</v>
      </c>
      <c r="E245" s="3">
        <v>9.6</v>
      </c>
      <c r="F245">
        <f t="shared" si="21"/>
        <v>0.82160000000000033</v>
      </c>
      <c r="G245">
        <f t="shared" si="22"/>
        <v>8.2160000000000039E-2</v>
      </c>
    </row>
    <row r="246" spans="1:7">
      <c r="A246" s="1">
        <v>20150712</v>
      </c>
      <c r="B246" s="1">
        <v>8</v>
      </c>
      <c r="C246" s="2">
        <f t="shared" si="19"/>
        <v>0.82160000000000033</v>
      </c>
      <c r="D246">
        <f t="shared" si="20"/>
        <v>2.1216000000000004</v>
      </c>
      <c r="E246" s="3">
        <v>9.6</v>
      </c>
      <c r="F246">
        <f t="shared" si="21"/>
        <v>0.82160000000000033</v>
      </c>
      <c r="G246">
        <f t="shared" si="22"/>
        <v>0.10270000000000004</v>
      </c>
    </row>
    <row r="247" spans="1:7">
      <c r="A247" s="1">
        <v>20150712</v>
      </c>
      <c r="B247" s="1">
        <v>20</v>
      </c>
      <c r="C247" s="2">
        <f t="shared" si="19"/>
        <v>1.2857000000000001</v>
      </c>
      <c r="D247">
        <f t="shared" si="20"/>
        <v>2.5857000000000001</v>
      </c>
      <c r="E247" s="3">
        <v>11.7</v>
      </c>
      <c r="F247">
        <f t="shared" si="21"/>
        <v>1.2857000000000001</v>
      </c>
      <c r="G247">
        <f t="shared" si="22"/>
        <v>6.4285000000000009E-2</v>
      </c>
    </row>
    <row r="248" spans="1:7">
      <c r="A248" s="1">
        <v>20150712</v>
      </c>
      <c r="B248" s="1">
        <v>25</v>
      </c>
      <c r="C248" s="2">
        <f t="shared" si="19"/>
        <v>1.2857000000000001</v>
      </c>
      <c r="D248">
        <f t="shared" si="20"/>
        <v>2.5857000000000001</v>
      </c>
      <c r="E248" s="3">
        <v>11.7</v>
      </c>
      <c r="F248">
        <f t="shared" si="21"/>
        <v>1.2857000000000001</v>
      </c>
      <c r="G248">
        <f t="shared" si="22"/>
        <v>5.1428000000000001E-2</v>
      </c>
    </row>
    <row r="249" spans="1:7">
      <c r="A249" s="1">
        <v>20150712</v>
      </c>
      <c r="B249" s="1">
        <v>33</v>
      </c>
      <c r="C249" s="2">
        <f t="shared" si="19"/>
        <v>1.2857000000000001</v>
      </c>
      <c r="D249">
        <f t="shared" si="20"/>
        <v>2.5857000000000001</v>
      </c>
      <c r="E249" s="3">
        <v>11.7</v>
      </c>
      <c r="F249">
        <f t="shared" si="21"/>
        <v>1.2857000000000001</v>
      </c>
      <c r="G249">
        <f t="shared" si="22"/>
        <v>3.8960606060606064E-2</v>
      </c>
    </row>
    <row r="250" spans="1:7">
      <c r="A250" s="1">
        <v>20150712</v>
      </c>
      <c r="B250" s="1">
        <v>28</v>
      </c>
      <c r="C250" s="2">
        <f t="shared" si="19"/>
        <v>1.2857000000000001</v>
      </c>
      <c r="D250">
        <f t="shared" si="20"/>
        <v>2.5857000000000001</v>
      </c>
      <c r="E250" s="3">
        <v>11.7</v>
      </c>
      <c r="F250">
        <f t="shared" si="21"/>
        <v>1.2857000000000001</v>
      </c>
      <c r="G250">
        <f t="shared" si="22"/>
        <v>4.5917857142857142E-2</v>
      </c>
    </row>
    <row r="251" spans="1:7">
      <c r="A251" s="1">
        <v>20150712</v>
      </c>
      <c r="B251" s="1">
        <v>26</v>
      </c>
      <c r="C251" s="2">
        <f t="shared" ref="C251:C271" si="23">D251-$S$14</f>
        <v>1.2857000000000001</v>
      </c>
      <c r="D251">
        <f t="shared" si="20"/>
        <v>2.5857000000000001</v>
      </c>
      <c r="E251" s="3">
        <v>11.7</v>
      </c>
      <c r="F251">
        <f t="shared" si="21"/>
        <v>1.2857000000000001</v>
      </c>
      <c r="G251">
        <f t="shared" si="22"/>
        <v>4.9450000000000001E-2</v>
      </c>
    </row>
    <row r="252" spans="1:7">
      <c r="A252" s="1">
        <v>20150712</v>
      </c>
      <c r="B252" s="1">
        <v>35</v>
      </c>
      <c r="C252" s="2">
        <f t="shared" si="23"/>
        <v>0.7553000000000003</v>
      </c>
      <c r="D252">
        <f t="shared" si="20"/>
        <v>2.0553000000000003</v>
      </c>
      <c r="E252" s="3">
        <v>9.3000000000000007</v>
      </c>
      <c r="F252">
        <f t="shared" si="21"/>
        <v>0.7553000000000003</v>
      </c>
      <c r="G252">
        <f t="shared" si="22"/>
        <v>2.1580000000000009E-2</v>
      </c>
    </row>
    <row r="253" spans="1:7">
      <c r="A253" s="1">
        <v>20150712</v>
      </c>
      <c r="B253" s="1">
        <v>38</v>
      </c>
      <c r="C253" s="2">
        <f t="shared" si="23"/>
        <v>0.7553000000000003</v>
      </c>
      <c r="D253">
        <f t="shared" si="20"/>
        <v>2.0553000000000003</v>
      </c>
      <c r="E253" s="3">
        <v>9.3000000000000007</v>
      </c>
      <c r="F253">
        <f t="shared" si="21"/>
        <v>0.7553000000000003</v>
      </c>
      <c r="G253">
        <f t="shared" si="22"/>
        <v>1.9876315789473693E-2</v>
      </c>
    </row>
    <row r="254" spans="1:7">
      <c r="A254" s="1">
        <v>20150712</v>
      </c>
      <c r="B254" s="1">
        <v>35</v>
      </c>
      <c r="C254" s="2">
        <f t="shared" si="23"/>
        <v>0.7553000000000003</v>
      </c>
      <c r="D254">
        <f t="shared" si="20"/>
        <v>2.0553000000000003</v>
      </c>
      <c r="E254" s="3">
        <v>9.3000000000000007</v>
      </c>
      <c r="F254">
        <f t="shared" si="21"/>
        <v>0.7553000000000003</v>
      </c>
      <c r="G254">
        <f t="shared" si="22"/>
        <v>2.1580000000000009E-2</v>
      </c>
    </row>
    <row r="255" spans="1:7">
      <c r="A255" s="1">
        <v>20150712</v>
      </c>
      <c r="B255" s="1">
        <v>35</v>
      </c>
      <c r="C255" s="2">
        <f t="shared" si="23"/>
        <v>0.7553000000000003</v>
      </c>
      <c r="D255">
        <f t="shared" si="20"/>
        <v>2.0553000000000003</v>
      </c>
      <c r="E255" s="3">
        <v>9.3000000000000007</v>
      </c>
      <c r="F255">
        <f t="shared" si="21"/>
        <v>0.7553000000000003</v>
      </c>
      <c r="G255">
        <f t="shared" si="22"/>
        <v>2.1580000000000009E-2</v>
      </c>
    </row>
    <row r="256" spans="1:7">
      <c r="A256" s="1">
        <v>20150712</v>
      </c>
      <c r="B256" s="1">
        <v>32</v>
      </c>
      <c r="C256" s="2">
        <f t="shared" si="23"/>
        <v>0.7553000000000003</v>
      </c>
      <c r="D256">
        <f t="shared" si="20"/>
        <v>2.0553000000000003</v>
      </c>
      <c r="E256" s="3">
        <v>9.3000000000000007</v>
      </c>
      <c r="F256">
        <f t="shared" si="21"/>
        <v>0.7553000000000003</v>
      </c>
      <c r="G256">
        <f t="shared" si="22"/>
        <v>2.360312500000001E-2</v>
      </c>
    </row>
    <row r="257" spans="1:7">
      <c r="A257" s="1">
        <v>20150712</v>
      </c>
      <c r="B257" s="1">
        <v>11</v>
      </c>
      <c r="C257" s="2">
        <f t="shared" si="23"/>
        <v>1.5067000000000002</v>
      </c>
      <c r="D257">
        <f t="shared" si="20"/>
        <v>2.8067000000000002</v>
      </c>
      <c r="E257" s="3">
        <v>12.7</v>
      </c>
      <c r="F257">
        <f t="shared" si="21"/>
        <v>1.5067000000000002</v>
      </c>
      <c r="G257">
        <f t="shared" si="22"/>
        <v>0.13697272727272727</v>
      </c>
    </row>
    <row r="258" spans="1:7">
      <c r="A258" s="1">
        <v>20150712</v>
      </c>
      <c r="B258" s="1">
        <v>14</v>
      </c>
      <c r="C258" s="2">
        <f t="shared" si="23"/>
        <v>1.5067000000000002</v>
      </c>
      <c r="D258">
        <f t="shared" ref="D258:D321" si="24">0.17*($H$2/12)*E258</f>
        <v>2.8067000000000002</v>
      </c>
      <c r="E258" s="3">
        <v>12.7</v>
      </c>
      <c r="F258">
        <f t="shared" si="21"/>
        <v>1.5067000000000002</v>
      </c>
      <c r="G258">
        <f t="shared" si="22"/>
        <v>0.10762142857142858</v>
      </c>
    </row>
    <row r="259" spans="1:7">
      <c r="A259" s="1">
        <v>20150712</v>
      </c>
      <c r="B259" s="1">
        <v>15</v>
      </c>
      <c r="C259" s="2">
        <f t="shared" si="23"/>
        <v>1.5067000000000002</v>
      </c>
      <c r="D259">
        <f t="shared" si="24"/>
        <v>2.8067000000000002</v>
      </c>
      <c r="E259" s="3">
        <v>12.7</v>
      </c>
      <c r="F259">
        <f t="shared" si="21"/>
        <v>1.5067000000000002</v>
      </c>
      <c r="G259">
        <f t="shared" si="22"/>
        <v>0.10044666666666667</v>
      </c>
    </row>
    <row r="260" spans="1:7">
      <c r="A260" s="1">
        <v>20150712</v>
      </c>
      <c r="B260" s="1">
        <v>11</v>
      </c>
      <c r="C260" s="2">
        <f t="shared" si="23"/>
        <v>1.5067000000000002</v>
      </c>
      <c r="D260">
        <f t="shared" si="24"/>
        <v>2.8067000000000002</v>
      </c>
      <c r="E260" s="3">
        <v>12.7</v>
      </c>
      <c r="F260">
        <f t="shared" si="21"/>
        <v>1.5067000000000002</v>
      </c>
      <c r="G260">
        <f t="shared" si="22"/>
        <v>0.13697272727272727</v>
      </c>
    </row>
    <row r="261" spans="1:7">
      <c r="A261" s="1">
        <v>20150712</v>
      </c>
      <c r="B261" s="1">
        <v>12</v>
      </c>
      <c r="C261" s="2">
        <f t="shared" si="23"/>
        <v>1.5067000000000002</v>
      </c>
      <c r="D261">
        <f t="shared" si="24"/>
        <v>2.8067000000000002</v>
      </c>
      <c r="E261" s="3">
        <v>12.7</v>
      </c>
      <c r="F261">
        <f t="shared" si="21"/>
        <v>1.5067000000000002</v>
      </c>
      <c r="G261">
        <f t="shared" si="22"/>
        <v>0.12555833333333336</v>
      </c>
    </row>
    <row r="262" spans="1:7">
      <c r="A262" s="1">
        <v>20150712</v>
      </c>
      <c r="B262" s="1">
        <v>8</v>
      </c>
      <c r="C262" s="2">
        <f t="shared" si="23"/>
        <v>0.82160000000000033</v>
      </c>
      <c r="D262">
        <f t="shared" si="24"/>
        <v>2.1216000000000004</v>
      </c>
      <c r="E262" s="3">
        <v>9.6</v>
      </c>
      <c r="F262">
        <f t="shared" si="21"/>
        <v>0.82160000000000033</v>
      </c>
      <c r="G262">
        <f t="shared" si="22"/>
        <v>0.10270000000000004</v>
      </c>
    </row>
    <row r="263" spans="1:7">
      <c r="A263" s="1">
        <v>20150712</v>
      </c>
      <c r="B263" s="1">
        <v>7</v>
      </c>
      <c r="C263" s="2">
        <f t="shared" si="23"/>
        <v>0.82160000000000033</v>
      </c>
      <c r="D263">
        <f t="shared" si="24"/>
        <v>2.1216000000000004</v>
      </c>
      <c r="E263" s="3">
        <v>9.6</v>
      </c>
      <c r="F263">
        <f t="shared" si="21"/>
        <v>0.82160000000000033</v>
      </c>
      <c r="G263">
        <f t="shared" si="22"/>
        <v>0.11737142857142861</v>
      </c>
    </row>
    <row r="264" spans="1:7">
      <c r="A264" s="1">
        <v>20150712</v>
      </c>
      <c r="B264" s="1">
        <v>9</v>
      </c>
      <c r="C264" s="2">
        <f t="shared" si="23"/>
        <v>0.82160000000000033</v>
      </c>
      <c r="D264">
        <f t="shared" si="24"/>
        <v>2.1216000000000004</v>
      </c>
      <c r="E264" s="3">
        <v>9.6</v>
      </c>
      <c r="F264">
        <f t="shared" si="21"/>
        <v>0.82160000000000033</v>
      </c>
      <c r="G264">
        <f t="shared" si="22"/>
        <v>9.1288888888888919E-2</v>
      </c>
    </row>
    <row r="265" spans="1:7">
      <c r="A265" s="1">
        <v>20150712</v>
      </c>
      <c r="B265" s="1">
        <v>12</v>
      </c>
      <c r="C265" s="2">
        <f t="shared" si="23"/>
        <v>0.82160000000000033</v>
      </c>
      <c r="D265">
        <f t="shared" si="24"/>
        <v>2.1216000000000004</v>
      </c>
      <c r="E265" s="3">
        <v>9.6</v>
      </c>
      <c r="F265">
        <f t="shared" si="21"/>
        <v>0.82160000000000033</v>
      </c>
      <c r="G265">
        <f t="shared" si="22"/>
        <v>6.846666666666669E-2</v>
      </c>
    </row>
    <row r="266" spans="1:7">
      <c r="A266" s="1">
        <v>20150712</v>
      </c>
      <c r="B266" s="1">
        <v>9</v>
      </c>
      <c r="C266" s="2">
        <f t="shared" si="23"/>
        <v>0.82160000000000033</v>
      </c>
      <c r="D266">
        <f t="shared" si="24"/>
        <v>2.1216000000000004</v>
      </c>
      <c r="E266" s="3">
        <v>9.6</v>
      </c>
      <c r="F266">
        <f t="shared" si="21"/>
        <v>0.82160000000000033</v>
      </c>
      <c r="G266">
        <f t="shared" si="22"/>
        <v>9.1288888888888919E-2</v>
      </c>
    </row>
    <row r="267" spans="1:7">
      <c r="A267" s="1">
        <v>20150712</v>
      </c>
      <c r="B267" s="1">
        <v>21</v>
      </c>
      <c r="C267" s="2">
        <f t="shared" si="23"/>
        <v>1.2857000000000001</v>
      </c>
      <c r="D267">
        <f t="shared" si="24"/>
        <v>2.5857000000000001</v>
      </c>
      <c r="E267" s="3">
        <v>11.7</v>
      </c>
      <c r="F267">
        <f t="shared" si="21"/>
        <v>1.2857000000000001</v>
      </c>
      <c r="G267">
        <f t="shared" si="22"/>
        <v>6.1223809523809528E-2</v>
      </c>
    </row>
    <row r="268" spans="1:7">
      <c r="A268" s="1">
        <v>20150712</v>
      </c>
      <c r="B268" s="1">
        <v>26</v>
      </c>
      <c r="C268" s="2">
        <f t="shared" si="23"/>
        <v>1.2857000000000001</v>
      </c>
      <c r="D268">
        <f t="shared" si="24"/>
        <v>2.5857000000000001</v>
      </c>
      <c r="E268" s="3">
        <v>11.7</v>
      </c>
      <c r="F268">
        <f t="shared" si="21"/>
        <v>1.2857000000000001</v>
      </c>
      <c r="G268">
        <f t="shared" si="22"/>
        <v>4.9450000000000001E-2</v>
      </c>
    </row>
    <row r="269" spans="1:7">
      <c r="A269" s="1">
        <v>20150712</v>
      </c>
      <c r="B269" s="1">
        <v>32</v>
      </c>
      <c r="C269" s="2">
        <f t="shared" si="23"/>
        <v>1.2857000000000001</v>
      </c>
      <c r="D269">
        <f t="shared" si="24"/>
        <v>2.5857000000000001</v>
      </c>
      <c r="E269" s="3">
        <v>11.7</v>
      </c>
      <c r="F269">
        <f t="shared" si="21"/>
        <v>1.2857000000000001</v>
      </c>
      <c r="G269">
        <f t="shared" si="22"/>
        <v>4.0178125000000002E-2</v>
      </c>
    </row>
    <row r="270" spans="1:7">
      <c r="A270" s="1">
        <v>20150712</v>
      </c>
      <c r="B270" s="1">
        <v>32</v>
      </c>
      <c r="C270" s="2">
        <f t="shared" si="23"/>
        <v>1.2857000000000001</v>
      </c>
      <c r="D270">
        <f t="shared" si="24"/>
        <v>2.5857000000000001</v>
      </c>
      <c r="E270" s="3">
        <v>11.7</v>
      </c>
      <c r="F270">
        <f t="shared" si="21"/>
        <v>1.2857000000000001</v>
      </c>
      <c r="G270">
        <f t="shared" si="22"/>
        <v>4.0178125000000002E-2</v>
      </c>
    </row>
    <row r="271" spans="1:7">
      <c r="A271" s="1">
        <v>20150712</v>
      </c>
      <c r="B271" s="1">
        <v>27</v>
      </c>
      <c r="C271" s="2">
        <f t="shared" si="23"/>
        <v>1.2857000000000001</v>
      </c>
      <c r="D271">
        <f t="shared" si="24"/>
        <v>2.5857000000000001</v>
      </c>
      <c r="E271" s="3">
        <v>11.7</v>
      </c>
      <c r="F271">
        <f t="shared" si="21"/>
        <v>1.2857000000000001</v>
      </c>
      <c r="G271">
        <f t="shared" si="22"/>
        <v>4.7618518518518518E-2</v>
      </c>
    </row>
    <row r="272" spans="1:7">
      <c r="A272" s="1">
        <v>20150714</v>
      </c>
      <c r="B272" s="1">
        <v>4</v>
      </c>
      <c r="C272" s="2">
        <f>D272-$S$16</f>
        <v>-1.9624000000000001</v>
      </c>
      <c r="D272">
        <f t="shared" si="24"/>
        <v>1.2376</v>
      </c>
      <c r="E272" s="3">
        <v>5.6</v>
      </c>
      <c r="F272">
        <f t="shared" si="21"/>
        <v>-1.9624000000000001</v>
      </c>
      <c r="G272">
        <f t="shared" si="22"/>
        <v>-0.49060000000000004</v>
      </c>
    </row>
    <row r="273" spans="1:7">
      <c r="A273" s="1">
        <v>20150714</v>
      </c>
      <c r="B273" s="1">
        <v>2</v>
      </c>
      <c r="C273" s="2">
        <f t="shared" ref="C273:C336" si="25">D273-$S$16</f>
        <v>-1.9624000000000001</v>
      </c>
      <c r="D273">
        <f t="shared" si="24"/>
        <v>1.2376</v>
      </c>
      <c r="E273" s="3">
        <v>5.6</v>
      </c>
      <c r="F273">
        <f t="shared" si="21"/>
        <v>-1.9624000000000001</v>
      </c>
      <c r="G273">
        <f t="shared" si="22"/>
        <v>-0.98120000000000007</v>
      </c>
    </row>
    <row r="274" spans="1:7">
      <c r="A274" s="1">
        <v>20150714</v>
      </c>
      <c r="B274" s="1">
        <v>7</v>
      </c>
      <c r="C274" s="2">
        <f t="shared" si="25"/>
        <v>-1.9624000000000001</v>
      </c>
      <c r="D274">
        <f t="shared" si="24"/>
        <v>1.2376</v>
      </c>
      <c r="E274" s="3">
        <v>5.6</v>
      </c>
      <c r="F274">
        <f t="shared" si="21"/>
        <v>-1.9624000000000001</v>
      </c>
      <c r="G274">
        <f t="shared" si="22"/>
        <v>-0.28034285714285717</v>
      </c>
    </row>
    <row r="275" spans="1:7">
      <c r="A275" s="1">
        <v>20150714</v>
      </c>
      <c r="B275" s="1">
        <v>6</v>
      </c>
      <c r="C275" s="2">
        <f t="shared" si="25"/>
        <v>-1.9624000000000001</v>
      </c>
      <c r="D275">
        <f t="shared" si="24"/>
        <v>1.2376</v>
      </c>
      <c r="E275" s="3">
        <v>5.6</v>
      </c>
      <c r="F275">
        <f t="shared" si="21"/>
        <v>-1.9624000000000001</v>
      </c>
      <c r="G275">
        <f t="shared" si="22"/>
        <v>-0.32706666666666667</v>
      </c>
    </row>
    <row r="276" spans="1:7">
      <c r="A276" s="1">
        <v>20150714</v>
      </c>
      <c r="B276" s="1">
        <v>4</v>
      </c>
      <c r="C276" s="2">
        <f t="shared" si="25"/>
        <v>-1.9624000000000001</v>
      </c>
      <c r="D276">
        <f t="shared" si="24"/>
        <v>1.2376</v>
      </c>
      <c r="E276" s="3">
        <v>5.6</v>
      </c>
      <c r="F276">
        <f t="shared" si="21"/>
        <v>-1.9624000000000001</v>
      </c>
      <c r="G276">
        <f t="shared" si="22"/>
        <v>-0.49060000000000004</v>
      </c>
    </row>
    <row r="277" spans="1:7">
      <c r="A277" s="1">
        <v>20150714</v>
      </c>
      <c r="B277" s="1">
        <v>21</v>
      </c>
      <c r="C277" s="2">
        <f t="shared" si="25"/>
        <v>-1.5867</v>
      </c>
      <c r="D277">
        <f t="shared" si="24"/>
        <v>1.6133000000000002</v>
      </c>
      <c r="E277" s="3">
        <v>7.3</v>
      </c>
      <c r="F277">
        <f t="shared" si="21"/>
        <v>-1.5867</v>
      </c>
      <c r="G277">
        <f t="shared" si="22"/>
        <v>-7.5557142857142851E-2</v>
      </c>
    </row>
    <row r="278" spans="1:7">
      <c r="A278" s="1">
        <v>20150714</v>
      </c>
      <c r="B278" s="1">
        <v>13</v>
      </c>
      <c r="C278" s="2">
        <f t="shared" si="25"/>
        <v>-1.5867</v>
      </c>
      <c r="D278">
        <f t="shared" si="24"/>
        <v>1.6133000000000002</v>
      </c>
      <c r="E278" s="3">
        <v>7.3</v>
      </c>
      <c r="F278">
        <f t="shared" si="21"/>
        <v>-1.5867</v>
      </c>
      <c r="G278">
        <f t="shared" si="22"/>
        <v>-0.12205384615384615</v>
      </c>
    </row>
    <row r="279" spans="1:7">
      <c r="A279" s="1">
        <v>20150714</v>
      </c>
      <c r="B279" s="1">
        <v>24</v>
      </c>
      <c r="C279" s="2">
        <f t="shared" si="25"/>
        <v>-1.5867</v>
      </c>
      <c r="D279">
        <f t="shared" si="24"/>
        <v>1.6133000000000002</v>
      </c>
      <c r="E279" s="3">
        <v>7.3</v>
      </c>
      <c r="F279">
        <f t="shared" si="21"/>
        <v>-1.5867</v>
      </c>
      <c r="G279">
        <f t="shared" si="22"/>
        <v>-6.6112500000000005E-2</v>
      </c>
    </row>
    <row r="280" spans="1:7">
      <c r="A280" s="1">
        <v>20150714</v>
      </c>
      <c r="B280" s="1">
        <v>34</v>
      </c>
      <c r="C280" s="2">
        <f t="shared" si="25"/>
        <v>-1.5867</v>
      </c>
      <c r="D280">
        <f t="shared" si="24"/>
        <v>1.6133000000000002</v>
      </c>
      <c r="E280" s="3">
        <v>7.3</v>
      </c>
      <c r="F280">
        <f t="shared" si="21"/>
        <v>-1.5867</v>
      </c>
      <c r="G280">
        <f t="shared" si="22"/>
        <v>-4.6667647058823529E-2</v>
      </c>
    </row>
    <row r="281" spans="1:7">
      <c r="A281" s="1">
        <v>20150714</v>
      </c>
      <c r="B281" s="1">
        <v>27</v>
      </c>
      <c r="C281" s="2">
        <f t="shared" si="25"/>
        <v>-1.5867</v>
      </c>
      <c r="D281">
        <f t="shared" si="24"/>
        <v>1.6133000000000002</v>
      </c>
      <c r="E281" s="3">
        <v>7.3</v>
      </c>
      <c r="F281">
        <f t="shared" si="21"/>
        <v>-1.5867</v>
      </c>
      <c r="G281">
        <f t="shared" si="22"/>
        <v>-5.8766666666666668E-2</v>
      </c>
    </row>
    <row r="282" spans="1:7">
      <c r="A282" s="1">
        <v>20150714</v>
      </c>
      <c r="B282" s="1">
        <v>11</v>
      </c>
      <c r="C282" s="2">
        <f t="shared" si="25"/>
        <v>-2.0507999999999997</v>
      </c>
      <c r="D282">
        <f t="shared" si="24"/>
        <v>1.1492000000000002</v>
      </c>
      <c r="E282" s="3">
        <v>5.2</v>
      </c>
      <c r="F282">
        <f t="shared" si="21"/>
        <v>-2.0507999999999997</v>
      </c>
      <c r="G282">
        <f t="shared" si="22"/>
        <v>-0.18643636363636362</v>
      </c>
    </row>
    <row r="283" spans="1:7">
      <c r="A283" s="1">
        <v>20150714</v>
      </c>
      <c r="B283" s="1">
        <v>12</v>
      </c>
      <c r="C283" s="2">
        <f t="shared" si="25"/>
        <v>-2.0507999999999997</v>
      </c>
      <c r="D283">
        <f t="shared" si="24"/>
        <v>1.1492000000000002</v>
      </c>
      <c r="E283" s="3">
        <v>5.2</v>
      </c>
      <c r="F283">
        <f t="shared" si="21"/>
        <v>-2.0507999999999997</v>
      </c>
      <c r="G283">
        <f t="shared" si="22"/>
        <v>-0.17089999999999997</v>
      </c>
    </row>
    <row r="284" spans="1:7">
      <c r="A284" s="1">
        <v>20150714</v>
      </c>
      <c r="B284" s="1">
        <v>6</v>
      </c>
      <c r="C284" s="2">
        <f t="shared" si="25"/>
        <v>-2.0507999999999997</v>
      </c>
      <c r="D284">
        <f t="shared" si="24"/>
        <v>1.1492000000000002</v>
      </c>
      <c r="E284" s="3">
        <v>5.2</v>
      </c>
      <c r="F284">
        <f t="shared" si="21"/>
        <v>-2.0507999999999997</v>
      </c>
      <c r="G284">
        <f t="shared" si="22"/>
        <v>-0.34179999999999994</v>
      </c>
    </row>
    <row r="285" spans="1:7">
      <c r="A285" s="1">
        <v>20150714</v>
      </c>
      <c r="B285" s="1">
        <v>15</v>
      </c>
      <c r="C285" s="2">
        <f t="shared" si="25"/>
        <v>-2.0507999999999997</v>
      </c>
      <c r="D285">
        <f t="shared" si="24"/>
        <v>1.1492000000000002</v>
      </c>
      <c r="E285" s="3">
        <v>5.2</v>
      </c>
      <c r="F285">
        <f t="shared" si="21"/>
        <v>-2.0507999999999997</v>
      </c>
      <c r="G285">
        <f t="shared" si="22"/>
        <v>-0.13671999999999998</v>
      </c>
    </row>
    <row r="286" spans="1:7">
      <c r="A286" s="1">
        <v>20150714</v>
      </c>
      <c r="B286" s="1">
        <v>12</v>
      </c>
      <c r="C286" s="2">
        <f t="shared" si="25"/>
        <v>-2.0507999999999997</v>
      </c>
      <c r="D286">
        <f t="shared" si="24"/>
        <v>1.1492000000000002</v>
      </c>
      <c r="E286" s="3">
        <v>5.2</v>
      </c>
      <c r="F286">
        <f t="shared" si="21"/>
        <v>-2.0507999999999997</v>
      </c>
      <c r="G286">
        <f t="shared" si="22"/>
        <v>-0.17089999999999997</v>
      </c>
    </row>
    <row r="287" spans="1:7">
      <c r="A287" s="1">
        <v>20150714</v>
      </c>
      <c r="B287" s="1">
        <v>15</v>
      </c>
      <c r="C287" s="2">
        <f t="shared" si="25"/>
        <v>-1.7414000000000001</v>
      </c>
      <c r="D287">
        <f t="shared" si="24"/>
        <v>1.4586000000000001</v>
      </c>
      <c r="E287" s="3">
        <v>6.6</v>
      </c>
      <c r="F287">
        <f t="shared" si="21"/>
        <v>-1.7414000000000001</v>
      </c>
      <c r="G287">
        <f t="shared" si="22"/>
        <v>-0.11609333333333334</v>
      </c>
    </row>
    <row r="288" spans="1:7">
      <c r="A288" s="1">
        <v>20150714</v>
      </c>
      <c r="B288" s="1">
        <v>13</v>
      </c>
      <c r="C288" s="2">
        <f t="shared" si="25"/>
        <v>-1.7414000000000001</v>
      </c>
      <c r="D288">
        <f t="shared" si="24"/>
        <v>1.4586000000000001</v>
      </c>
      <c r="E288" s="3">
        <v>6.6</v>
      </c>
      <c r="F288">
        <f t="shared" si="21"/>
        <v>-1.7414000000000001</v>
      </c>
      <c r="G288">
        <f t="shared" si="22"/>
        <v>-0.13395384615384615</v>
      </c>
    </row>
    <row r="289" spans="1:7">
      <c r="A289" s="1">
        <v>20150714</v>
      </c>
      <c r="B289" s="1">
        <v>19</v>
      </c>
      <c r="C289" s="2">
        <f t="shared" si="25"/>
        <v>-1.7414000000000001</v>
      </c>
      <c r="D289">
        <f t="shared" si="24"/>
        <v>1.4586000000000001</v>
      </c>
      <c r="E289" s="3">
        <v>6.6</v>
      </c>
      <c r="F289">
        <f t="shared" si="21"/>
        <v>-1.7414000000000001</v>
      </c>
      <c r="G289">
        <f t="shared" si="22"/>
        <v>-9.1652631578947374E-2</v>
      </c>
    </row>
    <row r="290" spans="1:7">
      <c r="A290" s="1">
        <v>20150714</v>
      </c>
      <c r="B290" s="1">
        <v>23</v>
      </c>
      <c r="C290" s="2">
        <f t="shared" si="25"/>
        <v>-1.7414000000000001</v>
      </c>
      <c r="D290">
        <f t="shared" si="24"/>
        <v>1.4586000000000001</v>
      </c>
      <c r="E290" s="3">
        <v>6.6</v>
      </c>
      <c r="F290">
        <f t="shared" si="21"/>
        <v>-1.7414000000000001</v>
      </c>
      <c r="G290">
        <f t="shared" si="22"/>
        <v>-7.5713043478260869E-2</v>
      </c>
    </row>
    <row r="291" spans="1:7">
      <c r="A291" s="1">
        <v>20150714</v>
      </c>
      <c r="B291" s="1">
        <v>34</v>
      </c>
      <c r="C291" s="2">
        <f t="shared" si="25"/>
        <v>-1.7414000000000001</v>
      </c>
      <c r="D291">
        <f t="shared" si="24"/>
        <v>1.4586000000000001</v>
      </c>
      <c r="E291" s="3">
        <v>6.6</v>
      </c>
      <c r="F291">
        <f t="shared" si="21"/>
        <v>-1.7414000000000001</v>
      </c>
      <c r="G291">
        <f t="shared" si="22"/>
        <v>-5.1217647058823534E-2</v>
      </c>
    </row>
    <row r="292" spans="1:7">
      <c r="A292" s="1">
        <v>20150714</v>
      </c>
      <c r="B292" s="1">
        <v>10</v>
      </c>
      <c r="C292" s="2">
        <f t="shared" si="25"/>
        <v>-1.5645999999999998</v>
      </c>
      <c r="D292">
        <f t="shared" si="24"/>
        <v>1.6354000000000004</v>
      </c>
      <c r="E292" s="3">
        <v>7.4</v>
      </c>
      <c r="F292">
        <f t="shared" si="21"/>
        <v>-1.5645999999999998</v>
      </c>
      <c r="G292">
        <f t="shared" si="22"/>
        <v>-0.15645999999999999</v>
      </c>
    </row>
    <row r="293" spans="1:7">
      <c r="A293" s="1">
        <v>20150714</v>
      </c>
      <c r="B293" s="1">
        <v>28</v>
      </c>
      <c r="C293" s="2">
        <f t="shared" si="25"/>
        <v>-1.5645999999999998</v>
      </c>
      <c r="D293">
        <f t="shared" si="24"/>
        <v>1.6354000000000004</v>
      </c>
      <c r="E293" s="3">
        <v>7.4</v>
      </c>
      <c r="F293">
        <f t="shared" si="21"/>
        <v>-1.5645999999999998</v>
      </c>
      <c r="G293">
        <f t="shared" si="22"/>
        <v>-5.5878571428571423E-2</v>
      </c>
    </row>
    <row r="294" spans="1:7">
      <c r="A294" s="1">
        <v>20150714</v>
      </c>
      <c r="B294" s="1">
        <v>13</v>
      </c>
      <c r="C294" s="2">
        <f t="shared" si="25"/>
        <v>-1.5645999999999998</v>
      </c>
      <c r="D294">
        <f t="shared" si="24"/>
        <v>1.6354000000000004</v>
      </c>
      <c r="E294" s="3">
        <v>7.4</v>
      </c>
      <c r="F294">
        <f t="shared" si="21"/>
        <v>-1.5645999999999998</v>
      </c>
      <c r="G294">
        <f t="shared" si="22"/>
        <v>-0.12035384615384613</v>
      </c>
    </row>
    <row r="295" spans="1:7">
      <c r="A295" s="1">
        <v>20150714</v>
      </c>
      <c r="B295" s="1">
        <v>27</v>
      </c>
      <c r="C295" s="2">
        <f t="shared" si="25"/>
        <v>-1.5645999999999998</v>
      </c>
      <c r="D295">
        <f t="shared" si="24"/>
        <v>1.6354000000000004</v>
      </c>
      <c r="E295" s="3">
        <v>7.4</v>
      </c>
      <c r="F295">
        <f t="shared" si="21"/>
        <v>-1.5645999999999998</v>
      </c>
      <c r="G295">
        <f t="shared" si="22"/>
        <v>-5.7948148148148138E-2</v>
      </c>
    </row>
    <row r="296" spans="1:7">
      <c r="A296" s="1">
        <v>20150714</v>
      </c>
      <c r="B296" s="1">
        <v>22</v>
      </c>
      <c r="C296" s="2">
        <f t="shared" si="25"/>
        <v>-1.5645999999999998</v>
      </c>
      <c r="D296">
        <f t="shared" si="24"/>
        <v>1.6354000000000004</v>
      </c>
      <c r="E296" s="3">
        <v>7.4</v>
      </c>
      <c r="F296">
        <f t="shared" si="21"/>
        <v>-1.5645999999999998</v>
      </c>
      <c r="G296">
        <f t="shared" si="22"/>
        <v>-7.1118181818181803E-2</v>
      </c>
    </row>
    <row r="297" spans="1:7">
      <c r="A297" s="1">
        <v>20150714</v>
      </c>
      <c r="B297" s="1">
        <v>57</v>
      </c>
      <c r="C297" s="2">
        <f t="shared" si="25"/>
        <v>-1.3435999999999999</v>
      </c>
      <c r="D297">
        <f t="shared" si="24"/>
        <v>1.8564000000000003</v>
      </c>
      <c r="E297" s="3">
        <v>8.4</v>
      </c>
      <c r="F297">
        <f t="shared" ref="F297:F360" si="26">C297</f>
        <v>-1.3435999999999999</v>
      </c>
      <c r="G297">
        <f t="shared" ref="G297:G360" si="27">F297/B297</f>
        <v>-2.35719298245614E-2</v>
      </c>
    </row>
    <row r="298" spans="1:7">
      <c r="A298" s="1">
        <v>20150714</v>
      </c>
      <c r="B298" s="1">
        <v>71</v>
      </c>
      <c r="C298" s="2">
        <f t="shared" si="25"/>
        <v>-1.3435999999999999</v>
      </c>
      <c r="D298">
        <f t="shared" si="24"/>
        <v>1.8564000000000003</v>
      </c>
      <c r="E298" s="3">
        <v>8.4</v>
      </c>
      <c r="F298">
        <f t="shared" si="26"/>
        <v>-1.3435999999999999</v>
      </c>
      <c r="G298">
        <f t="shared" si="27"/>
        <v>-1.892394366197183E-2</v>
      </c>
    </row>
    <row r="299" spans="1:7">
      <c r="A299" s="1">
        <v>20150714</v>
      </c>
      <c r="B299" s="1">
        <v>79</v>
      </c>
      <c r="C299" s="2">
        <f t="shared" si="25"/>
        <v>-1.3435999999999999</v>
      </c>
      <c r="D299">
        <f t="shared" si="24"/>
        <v>1.8564000000000003</v>
      </c>
      <c r="E299" s="3">
        <v>8.4</v>
      </c>
      <c r="F299">
        <f t="shared" si="26"/>
        <v>-1.3435999999999999</v>
      </c>
      <c r="G299">
        <f t="shared" si="27"/>
        <v>-1.7007594936708861E-2</v>
      </c>
    </row>
    <row r="300" spans="1:7">
      <c r="A300" s="1">
        <v>20150714</v>
      </c>
      <c r="B300" s="1">
        <v>72</v>
      </c>
      <c r="C300" s="2">
        <f t="shared" si="25"/>
        <v>-1.3435999999999999</v>
      </c>
      <c r="D300">
        <f t="shared" si="24"/>
        <v>1.8564000000000003</v>
      </c>
      <c r="E300" s="3">
        <v>8.4</v>
      </c>
      <c r="F300">
        <f t="shared" si="26"/>
        <v>-1.3435999999999999</v>
      </c>
      <c r="G300">
        <f t="shared" si="27"/>
        <v>-1.8661111111111111E-2</v>
      </c>
    </row>
    <row r="301" spans="1:7">
      <c r="A301" s="1">
        <v>20150714</v>
      </c>
      <c r="B301" s="1">
        <v>70</v>
      </c>
      <c r="C301" s="2">
        <f t="shared" si="25"/>
        <v>-1.3435999999999999</v>
      </c>
      <c r="D301">
        <f t="shared" si="24"/>
        <v>1.8564000000000003</v>
      </c>
      <c r="E301" s="3">
        <v>8.4</v>
      </c>
      <c r="F301">
        <f t="shared" si="26"/>
        <v>-1.3435999999999999</v>
      </c>
      <c r="G301">
        <f t="shared" si="27"/>
        <v>-1.9194285714285712E-2</v>
      </c>
    </row>
    <row r="302" spans="1:7">
      <c r="A302" s="1">
        <v>20150714</v>
      </c>
      <c r="B302" s="1">
        <v>10</v>
      </c>
      <c r="C302" s="2">
        <f t="shared" si="25"/>
        <v>-1.9624000000000001</v>
      </c>
      <c r="D302">
        <f t="shared" si="24"/>
        <v>1.2376</v>
      </c>
      <c r="E302" s="3">
        <v>5.6</v>
      </c>
      <c r="F302">
        <f t="shared" si="26"/>
        <v>-1.9624000000000001</v>
      </c>
      <c r="G302">
        <f t="shared" si="27"/>
        <v>-0.19624000000000003</v>
      </c>
    </row>
    <row r="303" spans="1:7">
      <c r="A303" s="1">
        <v>20150714</v>
      </c>
      <c r="B303" s="1">
        <v>7</v>
      </c>
      <c r="C303" s="2">
        <f t="shared" si="25"/>
        <v>-1.9624000000000001</v>
      </c>
      <c r="D303">
        <f t="shared" si="24"/>
        <v>1.2376</v>
      </c>
      <c r="E303" s="3">
        <v>5.6</v>
      </c>
      <c r="F303">
        <f t="shared" si="26"/>
        <v>-1.9624000000000001</v>
      </c>
      <c r="G303">
        <f t="shared" si="27"/>
        <v>-0.28034285714285717</v>
      </c>
    </row>
    <row r="304" spans="1:7">
      <c r="A304" s="1">
        <v>20150714</v>
      </c>
      <c r="B304" s="1">
        <v>11</v>
      </c>
      <c r="C304" s="2">
        <f t="shared" si="25"/>
        <v>-1.9624000000000001</v>
      </c>
      <c r="D304">
        <f t="shared" si="24"/>
        <v>1.2376</v>
      </c>
      <c r="E304" s="3">
        <v>5.6</v>
      </c>
      <c r="F304">
        <f t="shared" si="26"/>
        <v>-1.9624000000000001</v>
      </c>
      <c r="G304">
        <f t="shared" si="27"/>
        <v>-0.1784</v>
      </c>
    </row>
    <row r="305" spans="1:7">
      <c r="A305" s="1">
        <v>20150714</v>
      </c>
      <c r="B305" s="1">
        <v>32</v>
      </c>
      <c r="C305" s="2">
        <f t="shared" si="25"/>
        <v>-1.9624000000000001</v>
      </c>
      <c r="D305">
        <f t="shared" si="24"/>
        <v>1.2376</v>
      </c>
      <c r="E305" s="3">
        <v>5.6</v>
      </c>
      <c r="F305">
        <f t="shared" si="26"/>
        <v>-1.9624000000000001</v>
      </c>
      <c r="G305">
        <f t="shared" si="27"/>
        <v>-6.1325000000000005E-2</v>
      </c>
    </row>
    <row r="306" spans="1:7">
      <c r="A306" s="1">
        <v>20150714</v>
      </c>
      <c r="B306" s="1">
        <v>18</v>
      </c>
      <c r="C306" s="2">
        <f t="shared" si="25"/>
        <v>-1.9624000000000001</v>
      </c>
      <c r="D306">
        <f t="shared" si="24"/>
        <v>1.2376</v>
      </c>
      <c r="E306" s="3">
        <v>5.6</v>
      </c>
      <c r="F306">
        <f t="shared" si="26"/>
        <v>-1.9624000000000001</v>
      </c>
      <c r="G306">
        <f t="shared" si="27"/>
        <v>-0.10902222222222223</v>
      </c>
    </row>
    <row r="307" spans="1:7">
      <c r="A307" s="1">
        <v>20150714</v>
      </c>
      <c r="B307" s="1">
        <v>42</v>
      </c>
      <c r="C307" s="2">
        <f t="shared" si="25"/>
        <v>-1.5867</v>
      </c>
      <c r="D307">
        <f t="shared" si="24"/>
        <v>1.6133000000000002</v>
      </c>
      <c r="E307" s="3">
        <v>7.3</v>
      </c>
      <c r="F307">
        <f t="shared" si="26"/>
        <v>-1.5867</v>
      </c>
      <c r="G307">
        <f t="shared" si="27"/>
        <v>-3.7778571428571425E-2</v>
      </c>
    </row>
    <row r="308" spans="1:7">
      <c r="A308" s="1">
        <v>20150714</v>
      </c>
      <c r="B308" s="1">
        <v>35</v>
      </c>
      <c r="C308" s="2">
        <f t="shared" si="25"/>
        <v>-1.5867</v>
      </c>
      <c r="D308">
        <f t="shared" si="24"/>
        <v>1.6133000000000002</v>
      </c>
      <c r="E308" s="3">
        <v>7.3</v>
      </c>
      <c r="F308">
        <f t="shared" si="26"/>
        <v>-1.5867</v>
      </c>
      <c r="G308">
        <f t="shared" si="27"/>
        <v>-4.5334285714285716E-2</v>
      </c>
    </row>
    <row r="309" spans="1:7">
      <c r="A309" s="1">
        <v>20150714</v>
      </c>
      <c r="B309" s="1">
        <v>38</v>
      </c>
      <c r="C309" s="2">
        <f t="shared" si="25"/>
        <v>-1.5867</v>
      </c>
      <c r="D309">
        <f t="shared" si="24"/>
        <v>1.6133000000000002</v>
      </c>
      <c r="E309" s="3">
        <v>7.3</v>
      </c>
      <c r="F309">
        <f t="shared" si="26"/>
        <v>-1.5867</v>
      </c>
      <c r="G309">
        <f t="shared" si="27"/>
        <v>-4.175526315789474E-2</v>
      </c>
    </row>
    <row r="310" spans="1:7">
      <c r="A310" s="1">
        <v>20150714</v>
      </c>
      <c r="B310" s="1">
        <v>40</v>
      </c>
      <c r="C310" s="2">
        <f t="shared" si="25"/>
        <v>-1.5867</v>
      </c>
      <c r="D310">
        <f t="shared" si="24"/>
        <v>1.6133000000000002</v>
      </c>
      <c r="E310" s="3">
        <v>7.3</v>
      </c>
      <c r="F310">
        <f t="shared" si="26"/>
        <v>-1.5867</v>
      </c>
      <c r="G310">
        <f t="shared" si="27"/>
        <v>-3.9667500000000001E-2</v>
      </c>
    </row>
    <row r="311" spans="1:7">
      <c r="A311" s="1">
        <v>20150714</v>
      </c>
      <c r="B311" s="1">
        <v>47</v>
      </c>
      <c r="C311" s="2">
        <f t="shared" si="25"/>
        <v>-1.5867</v>
      </c>
      <c r="D311">
        <f t="shared" si="24"/>
        <v>1.6133000000000002</v>
      </c>
      <c r="E311" s="3">
        <v>7.3</v>
      </c>
      <c r="F311">
        <f t="shared" si="26"/>
        <v>-1.5867</v>
      </c>
      <c r="G311">
        <f t="shared" si="27"/>
        <v>-3.3759574468085106E-2</v>
      </c>
    </row>
    <row r="312" spans="1:7">
      <c r="A312" s="1">
        <v>20150714</v>
      </c>
      <c r="B312" s="1">
        <v>35</v>
      </c>
      <c r="C312" s="2">
        <f t="shared" si="25"/>
        <v>-2.0507999999999997</v>
      </c>
      <c r="D312">
        <f t="shared" si="24"/>
        <v>1.1492000000000002</v>
      </c>
      <c r="E312" s="3">
        <v>5.2</v>
      </c>
      <c r="F312">
        <f t="shared" si="26"/>
        <v>-2.0507999999999997</v>
      </c>
      <c r="G312">
        <f t="shared" si="27"/>
        <v>-5.859428571428571E-2</v>
      </c>
    </row>
    <row r="313" spans="1:7">
      <c r="A313" s="1">
        <v>20150714</v>
      </c>
      <c r="B313" s="1">
        <v>34</v>
      </c>
      <c r="C313" s="2">
        <f t="shared" si="25"/>
        <v>-2.0507999999999997</v>
      </c>
      <c r="D313">
        <f t="shared" si="24"/>
        <v>1.1492000000000002</v>
      </c>
      <c r="E313" s="3">
        <v>5.2</v>
      </c>
      <c r="F313">
        <f t="shared" si="26"/>
        <v>-2.0507999999999997</v>
      </c>
      <c r="G313">
        <f t="shared" si="27"/>
        <v>-6.0317647058823524E-2</v>
      </c>
    </row>
    <row r="314" spans="1:7">
      <c r="A314" s="1">
        <v>20150714</v>
      </c>
      <c r="B314" s="1">
        <v>25</v>
      </c>
      <c r="C314" s="2">
        <f t="shared" si="25"/>
        <v>-2.0507999999999997</v>
      </c>
      <c r="D314">
        <f t="shared" si="24"/>
        <v>1.1492000000000002</v>
      </c>
      <c r="E314" s="3">
        <v>5.2</v>
      </c>
      <c r="F314">
        <f t="shared" si="26"/>
        <v>-2.0507999999999997</v>
      </c>
      <c r="G314">
        <f t="shared" si="27"/>
        <v>-8.2031999999999994E-2</v>
      </c>
    </row>
    <row r="315" spans="1:7">
      <c r="A315" s="1">
        <v>20150714</v>
      </c>
      <c r="B315" s="1">
        <v>24</v>
      </c>
      <c r="C315" s="2">
        <f t="shared" si="25"/>
        <v>-2.0507999999999997</v>
      </c>
      <c r="D315">
        <f t="shared" si="24"/>
        <v>1.1492000000000002</v>
      </c>
      <c r="E315" s="3">
        <v>5.2</v>
      </c>
      <c r="F315">
        <f t="shared" si="26"/>
        <v>-2.0507999999999997</v>
      </c>
      <c r="G315">
        <f t="shared" si="27"/>
        <v>-8.5449999999999984E-2</v>
      </c>
    </row>
    <row r="316" spans="1:7">
      <c r="A316" s="1">
        <v>20150714</v>
      </c>
      <c r="B316" s="1">
        <v>26</v>
      </c>
      <c r="C316" s="2">
        <f t="shared" si="25"/>
        <v>-2.0507999999999997</v>
      </c>
      <c r="D316">
        <f t="shared" si="24"/>
        <v>1.1492000000000002</v>
      </c>
      <c r="E316" s="3">
        <v>5.2</v>
      </c>
      <c r="F316">
        <f t="shared" si="26"/>
        <v>-2.0507999999999997</v>
      </c>
      <c r="G316">
        <f t="shared" si="27"/>
        <v>-7.8876923076923067E-2</v>
      </c>
    </row>
    <row r="317" spans="1:7">
      <c r="A317" s="1">
        <v>20150714</v>
      </c>
      <c r="B317" s="1">
        <v>38</v>
      </c>
      <c r="C317" s="2">
        <f t="shared" si="25"/>
        <v>-1.7414000000000001</v>
      </c>
      <c r="D317">
        <f t="shared" si="24"/>
        <v>1.4586000000000001</v>
      </c>
      <c r="E317" s="3">
        <v>6.6</v>
      </c>
      <c r="F317">
        <f t="shared" si="26"/>
        <v>-1.7414000000000001</v>
      </c>
      <c r="G317">
        <f t="shared" si="27"/>
        <v>-4.5826315789473687E-2</v>
      </c>
    </row>
    <row r="318" spans="1:7">
      <c r="A318" s="1">
        <v>20150714</v>
      </c>
      <c r="B318" s="1">
        <v>35</v>
      </c>
      <c r="C318" s="2">
        <f t="shared" si="25"/>
        <v>-1.7414000000000001</v>
      </c>
      <c r="D318">
        <f t="shared" si="24"/>
        <v>1.4586000000000001</v>
      </c>
      <c r="E318" s="3">
        <v>6.6</v>
      </c>
      <c r="F318">
        <f t="shared" si="26"/>
        <v>-1.7414000000000001</v>
      </c>
      <c r="G318">
        <f t="shared" si="27"/>
        <v>-4.9754285714285716E-2</v>
      </c>
    </row>
    <row r="319" spans="1:7">
      <c r="A319" s="1">
        <v>20150714</v>
      </c>
      <c r="B319" s="1">
        <v>32</v>
      </c>
      <c r="C319" s="2">
        <f t="shared" si="25"/>
        <v>-1.7414000000000001</v>
      </c>
      <c r="D319">
        <f t="shared" si="24"/>
        <v>1.4586000000000001</v>
      </c>
      <c r="E319" s="3">
        <v>6.6</v>
      </c>
      <c r="F319">
        <f t="shared" si="26"/>
        <v>-1.7414000000000001</v>
      </c>
      <c r="G319">
        <f t="shared" si="27"/>
        <v>-5.4418750000000002E-2</v>
      </c>
    </row>
    <row r="320" spans="1:7">
      <c r="A320" s="1">
        <v>20150714</v>
      </c>
      <c r="B320" s="1">
        <v>49</v>
      </c>
      <c r="C320" s="2">
        <f t="shared" si="25"/>
        <v>-1.7414000000000001</v>
      </c>
      <c r="D320">
        <f t="shared" si="24"/>
        <v>1.4586000000000001</v>
      </c>
      <c r="E320" s="3">
        <v>6.6</v>
      </c>
      <c r="F320">
        <f t="shared" si="26"/>
        <v>-1.7414000000000001</v>
      </c>
      <c r="G320">
        <f t="shared" si="27"/>
        <v>-3.5538775510204082E-2</v>
      </c>
    </row>
    <row r="321" spans="1:7">
      <c r="A321" s="1">
        <v>20150714</v>
      </c>
      <c r="B321" s="1">
        <v>44</v>
      </c>
      <c r="C321" s="2">
        <f t="shared" si="25"/>
        <v>-1.7414000000000001</v>
      </c>
      <c r="D321">
        <f t="shared" si="24"/>
        <v>1.4586000000000001</v>
      </c>
      <c r="E321" s="3">
        <v>6.6</v>
      </c>
      <c r="F321">
        <f t="shared" si="26"/>
        <v>-1.7414000000000001</v>
      </c>
      <c r="G321">
        <f t="shared" si="27"/>
        <v>-3.9577272727272732E-2</v>
      </c>
    </row>
    <row r="322" spans="1:7">
      <c r="A322" s="1">
        <v>20150714</v>
      </c>
      <c r="B322" s="1">
        <v>34</v>
      </c>
      <c r="C322" s="2">
        <f t="shared" si="25"/>
        <v>-1.5645999999999998</v>
      </c>
      <c r="D322">
        <f t="shared" ref="D322:D385" si="28">0.17*($H$2/12)*E322</f>
        <v>1.6354000000000004</v>
      </c>
      <c r="E322" s="3">
        <v>7.4</v>
      </c>
      <c r="F322">
        <f t="shared" si="26"/>
        <v>-1.5645999999999998</v>
      </c>
      <c r="G322">
        <f t="shared" si="27"/>
        <v>-4.6017647058823524E-2</v>
      </c>
    </row>
    <row r="323" spans="1:7">
      <c r="A323" s="1">
        <v>20150714</v>
      </c>
      <c r="B323" s="1">
        <v>33</v>
      </c>
      <c r="C323" s="2">
        <f t="shared" si="25"/>
        <v>-1.5645999999999998</v>
      </c>
      <c r="D323">
        <f t="shared" si="28"/>
        <v>1.6354000000000004</v>
      </c>
      <c r="E323" s="3">
        <v>7.4</v>
      </c>
      <c r="F323">
        <f t="shared" si="26"/>
        <v>-1.5645999999999998</v>
      </c>
      <c r="G323">
        <f t="shared" si="27"/>
        <v>-4.7412121212121204E-2</v>
      </c>
    </row>
    <row r="324" spans="1:7">
      <c r="A324" s="1">
        <v>20150714</v>
      </c>
      <c r="B324" s="1">
        <v>35</v>
      </c>
      <c r="C324" s="2">
        <f t="shared" si="25"/>
        <v>-1.5645999999999998</v>
      </c>
      <c r="D324">
        <f t="shared" si="28"/>
        <v>1.6354000000000004</v>
      </c>
      <c r="E324" s="3">
        <v>7.4</v>
      </c>
      <c r="F324">
        <f t="shared" si="26"/>
        <v>-1.5645999999999998</v>
      </c>
      <c r="G324">
        <f t="shared" si="27"/>
        <v>-4.4702857142857134E-2</v>
      </c>
    </row>
    <row r="325" spans="1:7">
      <c r="A325" s="1">
        <v>20150714</v>
      </c>
      <c r="B325" s="1">
        <v>33</v>
      </c>
      <c r="C325" s="2">
        <f t="shared" si="25"/>
        <v>-1.5645999999999998</v>
      </c>
      <c r="D325">
        <f t="shared" si="28"/>
        <v>1.6354000000000004</v>
      </c>
      <c r="E325" s="3">
        <v>7.4</v>
      </c>
      <c r="F325">
        <f t="shared" si="26"/>
        <v>-1.5645999999999998</v>
      </c>
      <c r="G325">
        <f t="shared" si="27"/>
        <v>-4.7412121212121204E-2</v>
      </c>
    </row>
    <row r="326" spans="1:7">
      <c r="A326" s="1">
        <v>20150714</v>
      </c>
      <c r="B326" s="1">
        <v>21</v>
      </c>
      <c r="C326" s="2">
        <f t="shared" si="25"/>
        <v>-1.5645999999999998</v>
      </c>
      <c r="D326">
        <f t="shared" si="28"/>
        <v>1.6354000000000004</v>
      </c>
      <c r="E326" s="3">
        <v>7.4</v>
      </c>
      <c r="F326">
        <f t="shared" si="26"/>
        <v>-1.5645999999999998</v>
      </c>
      <c r="G326">
        <f t="shared" si="27"/>
        <v>-7.4504761904761893E-2</v>
      </c>
    </row>
    <row r="327" spans="1:7">
      <c r="A327" s="1">
        <v>20150714</v>
      </c>
      <c r="B327" s="1">
        <v>69</v>
      </c>
      <c r="C327" s="2">
        <f t="shared" si="25"/>
        <v>-1.3435999999999999</v>
      </c>
      <c r="D327">
        <f t="shared" si="28"/>
        <v>1.8564000000000003</v>
      </c>
      <c r="E327" s="3">
        <v>8.4</v>
      </c>
      <c r="F327">
        <f t="shared" si="26"/>
        <v>-1.3435999999999999</v>
      </c>
      <c r="G327">
        <f t="shared" si="27"/>
        <v>-1.9472463768115941E-2</v>
      </c>
    </row>
    <row r="328" spans="1:7">
      <c r="A328" s="1">
        <v>20150714</v>
      </c>
      <c r="B328" s="1">
        <v>70</v>
      </c>
      <c r="C328" s="2">
        <f t="shared" si="25"/>
        <v>-1.3435999999999999</v>
      </c>
      <c r="D328">
        <f t="shared" si="28"/>
        <v>1.8564000000000003</v>
      </c>
      <c r="E328" s="3">
        <v>8.4</v>
      </c>
      <c r="F328">
        <f t="shared" si="26"/>
        <v>-1.3435999999999999</v>
      </c>
      <c r="G328">
        <f t="shared" si="27"/>
        <v>-1.9194285714285712E-2</v>
      </c>
    </row>
    <row r="329" spans="1:7">
      <c r="A329" s="1">
        <v>20150714</v>
      </c>
      <c r="B329" s="1">
        <v>62</v>
      </c>
      <c r="C329" s="2">
        <f t="shared" si="25"/>
        <v>-1.3435999999999999</v>
      </c>
      <c r="D329">
        <f t="shared" si="28"/>
        <v>1.8564000000000003</v>
      </c>
      <c r="E329" s="3">
        <v>8.4</v>
      </c>
      <c r="F329">
        <f t="shared" si="26"/>
        <v>-1.3435999999999999</v>
      </c>
      <c r="G329">
        <f t="shared" si="27"/>
        <v>-2.1670967741935481E-2</v>
      </c>
    </row>
    <row r="330" spans="1:7">
      <c r="A330" s="1">
        <v>20150714</v>
      </c>
      <c r="B330" s="1">
        <v>55</v>
      </c>
      <c r="C330" s="2">
        <f t="shared" si="25"/>
        <v>-1.3435999999999999</v>
      </c>
      <c r="D330">
        <f t="shared" si="28"/>
        <v>1.8564000000000003</v>
      </c>
      <c r="E330" s="3">
        <v>8.4</v>
      </c>
      <c r="F330">
        <f t="shared" si="26"/>
        <v>-1.3435999999999999</v>
      </c>
      <c r="G330">
        <f t="shared" si="27"/>
        <v>-2.4429090909090907E-2</v>
      </c>
    </row>
    <row r="331" spans="1:7">
      <c r="A331" s="1">
        <v>20150714</v>
      </c>
      <c r="B331" s="1">
        <v>67</v>
      </c>
      <c r="C331" s="2">
        <f t="shared" si="25"/>
        <v>-1.3435999999999999</v>
      </c>
      <c r="D331">
        <f t="shared" si="28"/>
        <v>1.8564000000000003</v>
      </c>
      <c r="E331" s="3">
        <v>8.4</v>
      </c>
      <c r="F331">
        <f t="shared" si="26"/>
        <v>-1.3435999999999999</v>
      </c>
      <c r="G331">
        <f t="shared" si="27"/>
        <v>-2.005373134328358E-2</v>
      </c>
    </row>
    <row r="332" spans="1:7">
      <c r="A332" s="1">
        <v>20150714</v>
      </c>
      <c r="B332" s="1">
        <v>28</v>
      </c>
      <c r="C332" s="2">
        <f t="shared" si="25"/>
        <v>-1.9624000000000001</v>
      </c>
      <c r="D332">
        <f t="shared" si="28"/>
        <v>1.2376</v>
      </c>
      <c r="E332" s="3">
        <v>5.6</v>
      </c>
      <c r="F332">
        <f t="shared" si="26"/>
        <v>-1.9624000000000001</v>
      </c>
      <c r="G332">
        <f t="shared" si="27"/>
        <v>-7.0085714285714293E-2</v>
      </c>
    </row>
    <row r="333" spans="1:7">
      <c r="A333" s="1">
        <v>20150714</v>
      </c>
      <c r="B333" s="1">
        <v>24</v>
      </c>
      <c r="C333" s="2">
        <f t="shared" si="25"/>
        <v>-1.9624000000000001</v>
      </c>
      <c r="D333">
        <f t="shared" si="28"/>
        <v>1.2376</v>
      </c>
      <c r="E333" s="3">
        <v>5.6</v>
      </c>
      <c r="F333">
        <f t="shared" si="26"/>
        <v>-1.9624000000000001</v>
      </c>
      <c r="G333">
        <f t="shared" si="27"/>
        <v>-8.1766666666666668E-2</v>
      </c>
    </row>
    <row r="334" spans="1:7">
      <c r="A334" s="1">
        <v>20150714</v>
      </c>
      <c r="B334" s="1">
        <v>33</v>
      </c>
      <c r="C334" s="2">
        <f t="shared" si="25"/>
        <v>-1.9624000000000001</v>
      </c>
      <c r="D334">
        <f t="shared" si="28"/>
        <v>1.2376</v>
      </c>
      <c r="E334" s="3">
        <v>5.6</v>
      </c>
      <c r="F334">
        <f t="shared" si="26"/>
        <v>-1.9624000000000001</v>
      </c>
      <c r="G334">
        <f t="shared" si="27"/>
        <v>-5.9466666666666668E-2</v>
      </c>
    </row>
    <row r="335" spans="1:7">
      <c r="A335" s="1">
        <v>20150714</v>
      </c>
      <c r="B335" s="1">
        <v>36</v>
      </c>
      <c r="C335" s="2">
        <f t="shared" si="25"/>
        <v>-1.9624000000000001</v>
      </c>
      <c r="D335">
        <f t="shared" si="28"/>
        <v>1.2376</v>
      </c>
      <c r="E335" s="3">
        <v>5.6</v>
      </c>
      <c r="F335">
        <f t="shared" si="26"/>
        <v>-1.9624000000000001</v>
      </c>
      <c r="G335">
        <f t="shared" si="27"/>
        <v>-5.4511111111111114E-2</v>
      </c>
    </row>
    <row r="336" spans="1:7">
      <c r="A336" s="1">
        <v>20150714</v>
      </c>
      <c r="B336" s="1">
        <v>36</v>
      </c>
      <c r="C336" s="2">
        <f t="shared" si="25"/>
        <v>-1.9624000000000001</v>
      </c>
      <c r="D336">
        <f t="shared" si="28"/>
        <v>1.2376</v>
      </c>
      <c r="E336" s="3">
        <v>5.6</v>
      </c>
      <c r="F336">
        <f t="shared" si="26"/>
        <v>-1.9624000000000001</v>
      </c>
      <c r="G336">
        <f t="shared" si="27"/>
        <v>-5.4511111111111114E-2</v>
      </c>
    </row>
    <row r="337" spans="1:7">
      <c r="A337" s="1">
        <v>20150714</v>
      </c>
      <c r="B337" s="1">
        <v>31</v>
      </c>
      <c r="C337" s="2">
        <f t="shared" ref="C337:C361" si="29">D337-$S$16</f>
        <v>-1.5867</v>
      </c>
      <c r="D337">
        <f t="shared" si="28"/>
        <v>1.6133000000000002</v>
      </c>
      <c r="E337" s="3">
        <v>7.3</v>
      </c>
      <c r="F337">
        <f t="shared" si="26"/>
        <v>-1.5867</v>
      </c>
      <c r="G337">
        <f t="shared" si="27"/>
        <v>-5.1183870967741935E-2</v>
      </c>
    </row>
    <row r="338" spans="1:7">
      <c r="A338" s="1">
        <v>20150714</v>
      </c>
      <c r="B338" s="1">
        <v>39</v>
      </c>
      <c r="C338" s="2">
        <f t="shared" si="29"/>
        <v>-1.5867</v>
      </c>
      <c r="D338">
        <f t="shared" si="28"/>
        <v>1.6133000000000002</v>
      </c>
      <c r="E338" s="3">
        <v>7.3</v>
      </c>
      <c r="F338">
        <f t="shared" si="26"/>
        <v>-1.5867</v>
      </c>
      <c r="G338">
        <f t="shared" si="27"/>
        <v>-4.0684615384615382E-2</v>
      </c>
    </row>
    <row r="339" spans="1:7">
      <c r="A339" s="1">
        <v>20150714</v>
      </c>
      <c r="B339" s="1">
        <v>35</v>
      </c>
      <c r="C339" s="2">
        <f t="shared" si="29"/>
        <v>-1.5867</v>
      </c>
      <c r="D339">
        <f t="shared" si="28"/>
        <v>1.6133000000000002</v>
      </c>
      <c r="E339" s="3">
        <v>7.3</v>
      </c>
      <c r="F339">
        <f t="shared" si="26"/>
        <v>-1.5867</v>
      </c>
      <c r="G339">
        <f t="shared" si="27"/>
        <v>-4.5334285714285716E-2</v>
      </c>
    </row>
    <row r="340" spans="1:7">
      <c r="A340" s="1">
        <v>20150714</v>
      </c>
      <c r="B340" s="1">
        <v>37</v>
      </c>
      <c r="C340" s="2">
        <f t="shared" si="29"/>
        <v>-1.5867</v>
      </c>
      <c r="D340">
        <f t="shared" si="28"/>
        <v>1.6133000000000002</v>
      </c>
      <c r="E340" s="3">
        <v>7.3</v>
      </c>
      <c r="F340">
        <f t="shared" si="26"/>
        <v>-1.5867</v>
      </c>
      <c r="G340">
        <f t="shared" si="27"/>
        <v>-4.2883783783783783E-2</v>
      </c>
    </row>
    <row r="341" spans="1:7">
      <c r="A341" s="1">
        <v>20150714</v>
      </c>
      <c r="B341" s="1">
        <v>43</v>
      </c>
      <c r="C341" s="2">
        <f t="shared" si="29"/>
        <v>-1.5867</v>
      </c>
      <c r="D341">
        <f t="shared" si="28"/>
        <v>1.6133000000000002</v>
      </c>
      <c r="E341" s="3">
        <v>7.3</v>
      </c>
      <c r="F341">
        <f t="shared" si="26"/>
        <v>-1.5867</v>
      </c>
      <c r="G341">
        <f t="shared" si="27"/>
        <v>-3.6900000000000002E-2</v>
      </c>
    </row>
    <row r="342" spans="1:7">
      <c r="A342" s="1">
        <v>20150714</v>
      </c>
      <c r="B342" s="1">
        <v>37</v>
      </c>
      <c r="C342" s="2">
        <f t="shared" si="29"/>
        <v>-2.0507999999999997</v>
      </c>
      <c r="D342">
        <f t="shared" si="28"/>
        <v>1.1492000000000002</v>
      </c>
      <c r="E342" s="3">
        <v>5.2</v>
      </c>
      <c r="F342">
        <f t="shared" si="26"/>
        <v>-2.0507999999999997</v>
      </c>
      <c r="G342">
        <f t="shared" si="27"/>
        <v>-5.5427027027027023E-2</v>
      </c>
    </row>
    <row r="343" spans="1:7">
      <c r="A343" s="1">
        <v>20150714</v>
      </c>
      <c r="B343" s="1">
        <v>43</v>
      </c>
      <c r="C343" s="2">
        <f t="shared" si="29"/>
        <v>-2.0507999999999997</v>
      </c>
      <c r="D343">
        <f t="shared" si="28"/>
        <v>1.1492000000000002</v>
      </c>
      <c r="E343" s="3">
        <v>5.2</v>
      </c>
      <c r="F343">
        <f t="shared" si="26"/>
        <v>-2.0507999999999997</v>
      </c>
      <c r="G343">
        <f t="shared" si="27"/>
        <v>-4.7693023255813947E-2</v>
      </c>
    </row>
    <row r="344" spans="1:7">
      <c r="A344" s="1">
        <v>20150714</v>
      </c>
      <c r="B344" s="1">
        <v>42</v>
      </c>
      <c r="C344" s="2">
        <f t="shared" si="29"/>
        <v>-2.0507999999999997</v>
      </c>
      <c r="D344">
        <f t="shared" si="28"/>
        <v>1.1492000000000002</v>
      </c>
      <c r="E344" s="3">
        <v>5.2</v>
      </c>
      <c r="F344">
        <f t="shared" si="26"/>
        <v>-2.0507999999999997</v>
      </c>
      <c r="G344">
        <f t="shared" si="27"/>
        <v>-4.8828571428571423E-2</v>
      </c>
    </row>
    <row r="345" spans="1:7">
      <c r="A345" s="1">
        <v>20150714</v>
      </c>
      <c r="B345" s="1">
        <v>43</v>
      </c>
      <c r="C345" s="2">
        <f t="shared" si="29"/>
        <v>-2.0507999999999997</v>
      </c>
      <c r="D345">
        <f t="shared" si="28"/>
        <v>1.1492000000000002</v>
      </c>
      <c r="E345" s="3">
        <v>5.2</v>
      </c>
      <c r="F345">
        <f t="shared" si="26"/>
        <v>-2.0507999999999997</v>
      </c>
      <c r="G345">
        <f t="shared" si="27"/>
        <v>-4.7693023255813947E-2</v>
      </c>
    </row>
    <row r="346" spans="1:7">
      <c r="A346" s="1">
        <v>20150714</v>
      </c>
      <c r="B346" s="1">
        <v>46</v>
      </c>
      <c r="C346" s="2">
        <f t="shared" si="29"/>
        <v>-2.0507999999999997</v>
      </c>
      <c r="D346">
        <f t="shared" si="28"/>
        <v>1.1492000000000002</v>
      </c>
      <c r="E346" s="3">
        <v>5.2</v>
      </c>
      <c r="F346">
        <f t="shared" si="26"/>
        <v>-2.0507999999999997</v>
      </c>
      <c r="G346">
        <f t="shared" si="27"/>
        <v>-4.4582608695652171E-2</v>
      </c>
    </row>
    <row r="347" spans="1:7">
      <c r="A347" s="1">
        <v>20150714</v>
      </c>
      <c r="B347" s="1">
        <v>36</v>
      </c>
      <c r="C347" s="2">
        <f t="shared" si="29"/>
        <v>-1.7414000000000001</v>
      </c>
      <c r="D347">
        <f t="shared" si="28"/>
        <v>1.4586000000000001</v>
      </c>
      <c r="E347" s="3">
        <v>6.6</v>
      </c>
      <c r="F347">
        <f t="shared" si="26"/>
        <v>-1.7414000000000001</v>
      </c>
      <c r="G347">
        <f t="shared" si="27"/>
        <v>-4.8372222222222226E-2</v>
      </c>
    </row>
    <row r="348" spans="1:7">
      <c r="A348" s="1">
        <v>20150714</v>
      </c>
      <c r="B348" s="1">
        <v>31</v>
      </c>
      <c r="C348" s="2">
        <f t="shared" si="29"/>
        <v>-1.7414000000000001</v>
      </c>
      <c r="D348">
        <f t="shared" si="28"/>
        <v>1.4586000000000001</v>
      </c>
      <c r="E348" s="3">
        <v>6.6</v>
      </c>
      <c r="F348">
        <f t="shared" si="26"/>
        <v>-1.7414000000000001</v>
      </c>
      <c r="G348">
        <f t="shared" si="27"/>
        <v>-5.6174193548387097E-2</v>
      </c>
    </row>
    <row r="349" spans="1:7">
      <c r="A349" s="1">
        <v>20150714</v>
      </c>
      <c r="B349" s="1">
        <v>29</v>
      </c>
      <c r="C349" s="2">
        <f t="shared" si="29"/>
        <v>-1.7414000000000001</v>
      </c>
      <c r="D349">
        <f t="shared" si="28"/>
        <v>1.4586000000000001</v>
      </c>
      <c r="E349" s="3">
        <v>6.6</v>
      </c>
      <c r="F349">
        <f t="shared" si="26"/>
        <v>-1.7414000000000001</v>
      </c>
      <c r="G349">
        <f t="shared" si="27"/>
        <v>-6.004827586206897E-2</v>
      </c>
    </row>
    <row r="350" spans="1:7">
      <c r="A350" s="1">
        <v>20150714</v>
      </c>
      <c r="B350" s="1">
        <v>36</v>
      </c>
      <c r="C350" s="2">
        <f t="shared" si="29"/>
        <v>-1.7414000000000001</v>
      </c>
      <c r="D350">
        <f t="shared" si="28"/>
        <v>1.4586000000000001</v>
      </c>
      <c r="E350" s="3">
        <v>6.6</v>
      </c>
      <c r="F350">
        <f t="shared" si="26"/>
        <v>-1.7414000000000001</v>
      </c>
      <c r="G350">
        <f t="shared" si="27"/>
        <v>-4.8372222222222226E-2</v>
      </c>
    </row>
    <row r="351" spans="1:7">
      <c r="A351" s="1">
        <v>20150714</v>
      </c>
      <c r="B351" s="1">
        <v>27</v>
      </c>
      <c r="C351" s="2">
        <f t="shared" si="29"/>
        <v>-1.7414000000000001</v>
      </c>
      <c r="D351">
        <f t="shared" si="28"/>
        <v>1.4586000000000001</v>
      </c>
      <c r="E351" s="3">
        <v>6.6</v>
      </c>
      <c r="F351">
        <f t="shared" si="26"/>
        <v>-1.7414000000000001</v>
      </c>
      <c r="G351">
        <f t="shared" si="27"/>
        <v>-6.4496296296296302E-2</v>
      </c>
    </row>
    <row r="352" spans="1:7">
      <c r="A352" s="1">
        <v>20150714</v>
      </c>
      <c r="B352" s="1">
        <v>38</v>
      </c>
      <c r="C352" s="2">
        <f t="shared" si="29"/>
        <v>-1.5645999999999998</v>
      </c>
      <c r="D352">
        <f t="shared" si="28"/>
        <v>1.6354000000000004</v>
      </c>
      <c r="E352" s="3">
        <v>7.4</v>
      </c>
      <c r="F352">
        <f t="shared" si="26"/>
        <v>-1.5645999999999998</v>
      </c>
      <c r="G352">
        <f t="shared" si="27"/>
        <v>-4.1173684210526307E-2</v>
      </c>
    </row>
    <row r="353" spans="1:7">
      <c r="A353" s="1">
        <v>20150714</v>
      </c>
      <c r="B353" s="1">
        <v>30</v>
      </c>
      <c r="C353" s="2">
        <f t="shared" si="29"/>
        <v>-1.5645999999999998</v>
      </c>
      <c r="D353">
        <f t="shared" si="28"/>
        <v>1.6354000000000004</v>
      </c>
      <c r="E353" s="3">
        <v>7.4</v>
      </c>
      <c r="F353">
        <f t="shared" si="26"/>
        <v>-1.5645999999999998</v>
      </c>
      <c r="G353">
        <f t="shared" si="27"/>
        <v>-5.2153333333333322E-2</v>
      </c>
    </row>
    <row r="354" spans="1:7">
      <c r="A354" s="1">
        <v>20150714</v>
      </c>
      <c r="B354" s="1">
        <v>32</v>
      </c>
      <c r="C354" s="2">
        <f t="shared" si="29"/>
        <v>-1.5645999999999998</v>
      </c>
      <c r="D354">
        <f t="shared" si="28"/>
        <v>1.6354000000000004</v>
      </c>
      <c r="E354" s="3">
        <v>7.4</v>
      </c>
      <c r="F354">
        <f t="shared" si="26"/>
        <v>-1.5645999999999998</v>
      </c>
      <c r="G354">
        <f t="shared" si="27"/>
        <v>-4.8893749999999993E-2</v>
      </c>
    </row>
    <row r="355" spans="1:7">
      <c r="A355" s="1">
        <v>20150714</v>
      </c>
      <c r="B355" s="1">
        <v>31</v>
      </c>
      <c r="C355" s="2">
        <f t="shared" si="29"/>
        <v>-1.5645999999999998</v>
      </c>
      <c r="D355">
        <f t="shared" si="28"/>
        <v>1.6354000000000004</v>
      </c>
      <c r="E355" s="3">
        <v>7.4</v>
      </c>
      <c r="F355">
        <f t="shared" si="26"/>
        <v>-1.5645999999999998</v>
      </c>
      <c r="G355">
        <f t="shared" si="27"/>
        <v>-5.0470967741935477E-2</v>
      </c>
    </row>
    <row r="356" spans="1:7">
      <c r="A356" s="1">
        <v>20150714</v>
      </c>
      <c r="B356" s="1">
        <v>38</v>
      </c>
      <c r="C356" s="2">
        <f t="shared" si="29"/>
        <v>-1.5645999999999998</v>
      </c>
      <c r="D356">
        <f t="shared" si="28"/>
        <v>1.6354000000000004</v>
      </c>
      <c r="E356" s="3">
        <v>7.4</v>
      </c>
      <c r="F356">
        <f t="shared" si="26"/>
        <v>-1.5645999999999998</v>
      </c>
      <c r="G356">
        <f t="shared" si="27"/>
        <v>-4.1173684210526307E-2</v>
      </c>
    </row>
    <row r="357" spans="1:7">
      <c r="A357" s="1">
        <v>20150714</v>
      </c>
      <c r="B357" s="1">
        <v>45</v>
      </c>
      <c r="C357" s="2">
        <f t="shared" si="29"/>
        <v>-1.3435999999999999</v>
      </c>
      <c r="D357">
        <f t="shared" si="28"/>
        <v>1.8564000000000003</v>
      </c>
      <c r="E357" s="3">
        <v>8.4</v>
      </c>
      <c r="F357">
        <f t="shared" si="26"/>
        <v>-1.3435999999999999</v>
      </c>
      <c r="G357">
        <f t="shared" si="27"/>
        <v>-2.9857777777777775E-2</v>
      </c>
    </row>
    <row r="358" spans="1:7">
      <c r="A358" s="1">
        <v>20150714</v>
      </c>
      <c r="B358" s="1">
        <v>47</v>
      </c>
      <c r="C358" s="2">
        <f t="shared" si="29"/>
        <v>-1.3435999999999999</v>
      </c>
      <c r="D358">
        <f t="shared" si="28"/>
        <v>1.8564000000000003</v>
      </c>
      <c r="E358" s="3">
        <v>8.4</v>
      </c>
      <c r="F358">
        <f t="shared" si="26"/>
        <v>-1.3435999999999999</v>
      </c>
      <c r="G358">
        <f t="shared" si="27"/>
        <v>-2.858723404255319E-2</v>
      </c>
    </row>
    <row r="359" spans="1:7">
      <c r="A359" s="1">
        <v>20150714</v>
      </c>
      <c r="B359" s="1">
        <v>48</v>
      </c>
      <c r="C359" s="2">
        <f t="shared" si="29"/>
        <v>-1.3435999999999999</v>
      </c>
      <c r="D359">
        <f t="shared" si="28"/>
        <v>1.8564000000000003</v>
      </c>
      <c r="E359" s="3">
        <v>8.4</v>
      </c>
      <c r="F359">
        <f t="shared" si="26"/>
        <v>-1.3435999999999999</v>
      </c>
      <c r="G359">
        <f t="shared" si="27"/>
        <v>-2.7991666666666665E-2</v>
      </c>
    </row>
    <row r="360" spans="1:7">
      <c r="A360" s="1">
        <v>20150714</v>
      </c>
      <c r="B360" s="1">
        <v>54</v>
      </c>
      <c r="C360" s="2">
        <f t="shared" si="29"/>
        <v>-1.3435999999999999</v>
      </c>
      <c r="D360">
        <f t="shared" si="28"/>
        <v>1.8564000000000003</v>
      </c>
      <c r="E360" s="3">
        <v>8.4</v>
      </c>
      <c r="F360">
        <f t="shared" si="26"/>
        <v>-1.3435999999999999</v>
      </c>
      <c r="G360">
        <f t="shared" si="27"/>
        <v>-2.488148148148148E-2</v>
      </c>
    </row>
    <row r="361" spans="1:7">
      <c r="A361" s="1">
        <v>20150714</v>
      </c>
      <c r="B361" s="1">
        <v>40</v>
      </c>
      <c r="C361" s="2">
        <f t="shared" si="29"/>
        <v>-1.3435999999999999</v>
      </c>
      <c r="D361">
        <f t="shared" si="28"/>
        <v>1.8564000000000003</v>
      </c>
      <c r="E361" s="3">
        <v>8.4</v>
      </c>
      <c r="F361">
        <f t="shared" ref="F361:F424" si="30">C361</f>
        <v>-1.3435999999999999</v>
      </c>
      <c r="G361">
        <f t="shared" ref="G361:G424" si="31">F361/B361</f>
        <v>-3.3589999999999995E-2</v>
      </c>
    </row>
    <row r="362" spans="1:7">
      <c r="A362" s="1">
        <v>20150713</v>
      </c>
      <c r="B362" s="1">
        <v>61</v>
      </c>
      <c r="C362" s="2">
        <f>D362-$S$15</f>
        <v>1.4028</v>
      </c>
      <c r="D362">
        <f t="shared" si="28"/>
        <v>1.5028000000000001</v>
      </c>
      <c r="E362" s="3">
        <v>6.8</v>
      </c>
      <c r="F362">
        <f t="shared" si="30"/>
        <v>1.4028</v>
      </c>
      <c r="G362">
        <f t="shared" si="31"/>
        <v>2.2996721311475409E-2</v>
      </c>
    </row>
    <row r="363" spans="1:7">
      <c r="A363" s="1">
        <v>20150713</v>
      </c>
      <c r="B363" s="1">
        <v>51</v>
      </c>
      <c r="C363" s="2">
        <f t="shared" ref="C363:C426" si="32">D363-$S$15</f>
        <v>1.4028</v>
      </c>
      <c r="D363">
        <f t="shared" si="28"/>
        <v>1.5028000000000001</v>
      </c>
      <c r="E363" s="3">
        <v>6.8</v>
      </c>
      <c r="F363">
        <f t="shared" si="30"/>
        <v>1.4028</v>
      </c>
      <c r="G363">
        <f t="shared" si="31"/>
        <v>2.7505882352941179E-2</v>
      </c>
    </row>
    <row r="364" spans="1:7">
      <c r="A364" s="1">
        <v>20150713</v>
      </c>
      <c r="B364" s="1">
        <v>41</v>
      </c>
      <c r="C364" s="2">
        <f t="shared" si="32"/>
        <v>1.4028</v>
      </c>
      <c r="D364">
        <f t="shared" si="28"/>
        <v>1.5028000000000001</v>
      </c>
      <c r="E364" s="3">
        <v>6.8</v>
      </c>
      <c r="F364">
        <f t="shared" si="30"/>
        <v>1.4028</v>
      </c>
      <c r="G364">
        <f t="shared" si="31"/>
        <v>3.4214634146341467E-2</v>
      </c>
    </row>
    <row r="365" spans="1:7">
      <c r="A365" s="1">
        <v>20150713</v>
      </c>
      <c r="B365" s="1">
        <v>34</v>
      </c>
      <c r="C365" s="2">
        <f t="shared" si="32"/>
        <v>1.4028</v>
      </c>
      <c r="D365">
        <f t="shared" si="28"/>
        <v>1.5028000000000001</v>
      </c>
      <c r="E365" s="3">
        <v>6.8</v>
      </c>
      <c r="F365">
        <f t="shared" si="30"/>
        <v>1.4028</v>
      </c>
      <c r="G365">
        <f t="shared" si="31"/>
        <v>4.1258823529411764E-2</v>
      </c>
    </row>
    <row r="366" spans="1:7">
      <c r="A366" s="1">
        <v>20150713</v>
      </c>
      <c r="B366" s="1">
        <v>63</v>
      </c>
      <c r="C366" s="2">
        <f t="shared" si="32"/>
        <v>1.4028</v>
      </c>
      <c r="D366">
        <f t="shared" si="28"/>
        <v>1.5028000000000001</v>
      </c>
      <c r="E366" s="3">
        <v>6.8</v>
      </c>
      <c r="F366">
        <f t="shared" si="30"/>
        <v>1.4028</v>
      </c>
      <c r="G366">
        <f t="shared" si="31"/>
        <v>2.2266666666666667E-2</v>
      </c>
    </row>
    <row r="367" spans="1:7">
      <c r="A367" s="1">
        <v>20150713</v>
      </c>
      <c r="B367" s="1">
        <v>10</v>
      </c>
      <c r="C367" s="2">
        <f t="shared" si="32"/>
        <v>2.1763000000000003</v>
      </c>
      <c r="D367">
        <f t="shared" si="28"/>
        <v>2.2763000000000004</v>
      </c>
      <c r="E367" s="3">
        <v>10.3</v>
      </c>
      <c r="F367">
        <f t="shared" si="30"/>
        <v>2.1763000000000003</v>
      </c>
      <c r="G367">
        <f t="shared" si="31"/>
        <v>0.21763000000000005</v>
      </c>
    </row>
    <row r="368" spans="1:7">
      <c r="A368" s="1">
        <v>20150713</v>
      </c>
      <c r="B368" s="1">
        <v>17</v>
      </c>
      <c r="C368" s="2">
        <f t="shared" si="32"/>
        <v>2.1763000000000003</v>
      </c>
      <c r="D368">
        <f t="shared" si="28"/>
        <v>2.2763000000000004</v>
      </c>
      <c r="E368" s="3">
        <v>10.3</v>
      </c>
      <c r="F368">
        <f t="shared" si="30"/>
        <v>2.1763000000000003</v>
      </c>
      <c r="G368">
        <f t="shared" si="31"/>
        <v>0.12801764705882354</v>
      </c>
    </row>
    <row r="369" spans="1:7">
      <c r="A369" s="1">
        <v>20150713</v>
      </c>
      <c r="B369" s="1">
        <v>18</v>
      </c>
      <c r="C369" s="2">
        <f t="shared" si="32"/>
        <v>2.1763000000000003</v>
      </c>
      <c r="D369">
        <f t="shared" si="28"/>
        <v>2.2763000000000004</v>
      </c>
      <c r="E369" s="3">
        <v>10.3</v>
      </c>
      <c r="F369">
        <f t="shared" si="30"/>
        <v>2.1763000000000003</v>
      </c>
      <c r="G369">
        <f t="shared" si="31"/>
        <v>0.12090555555555557</v>
      </c>
    </row>
    <row r="370" spans="1:7">
      <c r="A370" s="1">
        <v>20150713</v>
      </c>
      <c r="B370" s="1">
        <v>19</v>
      </c>
      <c r="C370" s="2">
        <f t="shared" si="32"/>
        <v>2.1763000000000003</v>
      </c>
      <c r="D370">
        <f t="shared" si="28"/>
        <v>2.2763000000000004</v>
      </c>
      <c r="E370" s="3">
        <v>10.3</v>
      </c>
      <c r="F370">
        <f t="shared" si="30"/>
        <v>2.1763000000000003</v>
      </c>
      <c r="G370">
        <f t="shared" si="31"/>
        <v>0.11454210526315792</v>
      </c>
    </row>
    <row r="371" spans="1:7">
      <c r="A371" s="1">
        <v>20150713</v>
      </c>
      <c r="B371" s="1">
        <v>13</v>
      </c>
      <c r="C371" s="2">
        <f t="shared" si="32"/>
        <v>2.1763000000000003</v>
      </c>
      <c r="D371">
        <f t="shared" si="28"/>
        <v>2.2763000000000004</v>
      </c>
      <c r="E371" s="3">
        <v>10.3</v>
      </c>
      <c r="F371">
        <f t="shared" si="30"/>
        <v>2.1763000000000003</v>
      </c>
      <c r="G371">
        <f t="shared" si="31"/>
        <v>0.16740769230769234</v>
      </c>
    </row>
    <row r="372" spans="1:7">
      <c r="A372" s="1">
        <v>20150713</v>
      </c>
      <c r="B372" s="1">
        <v>22</v>
      </c>
      <c r="C372" s="2">
        <f t="shared" si="32"/>
        <v>1.1155000000000002</v>
      </c>
      <c r="D372">
        <f t="shared" si="28"/>
        <v>1.2155000000000002</v>
      </c>
      <c r="E372" s="3">
        <v>5.5</v>
      </c>
      <c r="F372">
        <f t="shared" si="30"/>
        <v>1.1155000000000002</v>
      </c>
      <c r="G372">
        <f t="shared" si="31"/>
        <v>5.070454545454546E-2</v>
      </c>
    </row>
    <row r="373" spans="1:7">
      <c r="A373" s="1">
        <v>20150713</v>
      </c>
      <c r="B373" s="1">
        <v>15</v>
      </c>
      <c r="C373" s="2">
        <f t="shared" si="32"/>
        <v>1.1155000000000002</v>
      </c>
      <c r="D373">
        <f t="shared" si="28"/>
        <v>1.2155000000000002</v>
      </c>
      <c r="E373" s="3">
        <v>5.5</v>
      </c>
      <c r="F373">
        <f t="shared" si="30"/>
        <v>1.1155000000000002</v>
      </c>
      <c r="G373">
        <f t="shared" si="31"/>
        <v>7.4366666666666678E-2</v>
      </c>
    </row>
    <row r="374" spans="1:7">
      <c r="A374" s="1">
        <v>20150713</v>
      </c>
      <c r="B374" s="1">
        <v>13</v>
      </c>
      <c r="C374" s="2">
        <f t="shared" si="32"/>
        <v>1.1155000000000002</v>
      </c>
      <c r="D374">
        <f t="shared" si="28"/>
        <v>1.2155000000000002</v>
      </c>
      <c r="E374" s="3">
        <v>5.5</v>
      </c>
      <c r="F374">
        <f t="shared" si="30"/>
        <v>1.1155000000000002</v>
      </c>
      <c r="G374">
        <f t="shared" si="31"/>
        <v>8.5807692307692321E-2</v>
      </c>
    </row>
    <row r="375" spans="1:7">
      <c r="A375" s="1">
        <v>20150713</v>
      </c>
      <c r="B375" s="1">
        <v>20</v>
      </c>
      <c r="C375" s="2">
        <f t="shared" si="32"/>
        <v>1.1155000000000002</v>
      </c>
      <c r="D375">
        <f t="shared" si="28"/>
        <v>1.2155000000000002</v>
      </c>
      <c r="E375" s="3">
        <v>5.5</v>
      </c>
      <c r="F375">
        <f t="shared" si="30"/>
        <v>1.1155000000000002</v>
      </c>
      <c r="G375">
        <f t="shared" si="31"/>
        <v>5.5775000000000005E-2</v>
      </c>
    </row>
    <row r="376" spans="1:7">
      <c r="A376" s="1">
        <v>20150713</v>
      </c>
      <c r="B376" s="1">
        <v>21</v>
      </c>
      <c r="C376" s="2">
        <f t="shared" si="32"/>
        <v>1.1155000000000002</v>
      </c>
      <c r="D376">
        <f t="shared" si="28"/>
        <v>1.2155000000000002</v>
      </c>
      <c r="E376" s="3">
        <v>5.5</v>
      </c>
      <c r="F376">
        <f t="shared" si="30"/>
        <v>1.1155000000000002</v>
      </c>
      <c r="G376">
        <f t="shared" si="31"/>
        <v>5.3119047619047628E-2</v>
      </c>
    </row>
    <row r="377" spans="1:7">
      <c r="A377" s="1">
        <v>20150713</v>
      </c>
      <c r="B377" s="1">
        <v>13</v>
      </c>
      <c r="C377" s="2">
        <f t="shared" si="32"/>
        <v>0.56300000000000006</v>
      </c>
      <c r="D377">
        <f t="shared" si="28"/>
        <v>0.66300000000000003</v>
      </c>
      <c r="E377" s="3">
        <v>3</v>
      </c>
      <c r="F377">
        <f t="shared" si="30"/>
        <v>0.56300000000000006</v>
      </c>
      <c r="G377">
        <f t="shared" si="31"/>
        <v>4.3307692307692311E-2</v>
      </c>
    </row>
    <row r="378" spans="1:7">
      <c r="A378" s="1">
        <v>20150713</v>
      </c>
      <c r="B378" s="1">
        <v>20</v>
      </c>
      <c r="C378" s="2">
        <f t="shared" si="32"/>
        <v>0.56300000000000006</v>
      </c>
      <c r="D378">
        <f t="shared" si="28"/>
        <v>0.66300000000000003</v>
      </c>
      <c r="E378" s="3">
        <v>3</v>
      </c>
      <c r="F378">
        <f t="shared" si="30"/>
        <v>0.56300000000000006</v>
      </c>
      <c r="G378">
        <f t="shared" si="31"/>
        <v>2.8150000000000001E-2</v>
      </c>
    </row>
    <row r="379" spans="1:7">
      <c r="A379" s="1">
        <v>20150713</v>
      </c>
      <c r="B379" s="1">
        <v>24</v>
      </c>
      <c r="C379" s="2">
        <f t="shared" si="32"/>
        <v>0.56300000000000006</v>
      </c>
      <c r="D379">
        <f t="shared" si="28"/>
        <v>0.66300000000000003</v>
      </c>
      <c r="E379" s="3">
        <v>3</v>
      </c>
      <c r="F379">
        <f t="shared" si="30"/>
        <v>0.56300000000000006</v>
      </c>
      <c r="G379">
        <f t="shared" si="31"/>
        <v>2.3458333333333335E-2</v>
      </c>
    </row>
    <row r="380" spans="1:7">
      <c r="A380" s="1">
        <v>20150713</v>
      </c>
      <c r="B380" s="1">
        <v>36</v>
      </c>
      <c r="C380" s="2">
        <f t="shared" si="32"/>
        <v>0.56300000000000006</v>
      </c>
      <c r="D380">
        <f t="shared" si="28"/>
        <v>0.66300000000000003</v>
      </c>
      <c r="E380" s="3">
        <v>3</v>
      </c>
      <c r="F380">
        <f t="shared" si="30"/>
        <v>0.56300000000000006</v>
      </c>
      <c r="G380">
        <f t="shared" si="31"/>
        <v>1.563888888888889E-2</v>
      </c>
    </row>
    <row r="381" spans="1:7">
      <c r="A381" s="1">
        <v>20150713</v>
      </c>
      <c r="B381" s="1">
        <v>25</v>
      </c>
      <c r="C381" s="2">
        <f t="shared" si="32"/>
        <v>0.56300000000000006</v>
      </c>
      <c r="D381">
        <f t="shared" si="28"/>
        <v>0.66300000000000003</v>
      </c>
      <c r="E381" s="3">
        <v>3</v>
      </c>
      <c r="F381">
        <f t="shared" si="30"/>
        <v>0.56300000000000006</v>
      </c>
      <c r="G381">
        <f t="shared" si="31"/>
        <v>2.2520000000000002E-2</v>
      </c>
    </row>
    <row r="382" spans="1:7">
      <c r="A382" s="1">
        <v>20150713</v>
      </c>
      <c r="B382" s="1">
        <v>7</v>
      </c>
      <c r="C382" s="2">
        <f t="shared" si="32"/>
        <v>1.3365</v>
      </c>
      <c r="D382">
        <f t="shared" si="28"/>
        <v>1.4365000000000001</v>
      </c>
      <c r="E382" s="3">
        <v>6.5</v>
      </c>
      <c r="F382">
        <f t="shared" si="30"/>
        <v>1.3365</v>
      </c>
      <c r="G382">
        <f t="shared" si="31"/>
        <v>0.19092857142857142</v>
      </c>
    </row>
    <row r="383" spans="1:7">
      <c r="A383" s="1">
        <v>20150713</v>
      </c>
      <c r="B383" s="1">
        <v>13</v>
      </c>
      <c r="C383" s="2">
        <f t="shared" si="32"/>
        <v>1.3365</v>
      </c>
      <c r="D383">
        <f t="shared" si="28"/>
        <v>1.4365000000000001</v>
      </c>
      <c r="E383" s="3">
        <v>6.5</v>
      </c>
      <c r="F383">
        <f t="shared" si="30"/>
        <v>1.3365</v>
      </c>
      <c r="G383">
        <f t="shared" si="31"/>
        <v>0.10280769230769231</v>
      </c>
    </row>
    <row r="384" spans="1:7">
      <c r="A384" s="1">
        <v>20150713</v>
      </c>
      <c r="B384" s="1">
        <v>24</v>
      </c>
      <c r="C384" s="2">
        <f t="shared" si="32"/>
        <v>1.3365</v>
      </c>
      <c r="D384">
        <f t="shared" si="28"/>
        <v>1.4365000000000001</v>
      </c>
      <c r="E384" s="3">
        <v>6.5</v>
      </c>
      <c r="F384">
        <f t="shared" si="30"/>
        <v>1.3365</v>
      </c>
      <c r="G384">
        <f t="shared" si="31"/>
        <v>5.5687500000000001E-2</v>
      </c>
    </row>
    <row r="385" spans="1:7">
      <c r="A385" s="1">
        <v>20150713</v>
      </c>
      <c r="B385" s="1">
        <v>9</v>
      </c>
      <c r="C385" s="2">
        <f t="shared" si="32"/>
        <v>1.3365</v>
      </c>
      <c r="D385">
        <f t="shared" si="28"/>
        <v>1.4365000000000001</v>
      </c>
      <c r="E385" s="3">
        <v>6.5</v>
      </c>
      <c r="F385">
        <f t="shared" si="30"/>
        <v>1.3365</v>
      </c>
      <c r="G385">
        <f t="shared" si="31"/>
        <v>0.14849999999999999</v>
      </c>
    </row>
    <row r="386" spans="1:7">
      <c r="A386" s="1">
        <v>20150713</v>
      </c>
      <c r="B386" s="1">
        <v>12</v>
      </c>
      <c r="C386" s="2">
        <f t="shared" si="32"/>
        <v>1.3365</v>
      </c>
      <c r="D386">
        <f t="shared" ref="D386:D449" si="33">0.17*($H$2/12)*E386</f>
        <v>1.4365000000000001</v>
      </c>
      <c r="E386" s="3">
        <v>6.5</v>
      </c>
      <c r="F386">
        <f t="shared" si="30"/>
        <v>1.3365</v>
      </c>
      <c r="G386">
        <f t="shared" si="31"/>
        <v>0.111375</v>
      </c>
    </row>
    <row r="387" spans="1:7">
      <c r="A387" s="1">
        <v>20150713</v>
      </c>
      <c r="B387" s="1">
        <v>56</v>
      </c>
      <c r="C387" s="2">
        <f t="shared" si="32"/>
        <v>1.4028</v>
      </c>
      <c r="D387">
        <f t="shared" si="33"/>
        <v>1.5028000000000001</v>
      </c>
      <c r="E387" s="3">
        <v>6.8</v>
      </c>
      <c r="F387">
        <f t="shared" si="30"/>
        <v>1.4028</v>
      </c>
      <c r="G387">
        <f t="shared" si="31"/>
        <v>2.5049999999999999E-2</v>
      </c>
    </row>
    <row r="388" spans="1:7">
      <c r="A388" s="1">
        <v>20150713</v>
      </c>
      <c r="B388" s="1">
        <v>64</v>
      </c>
      <c r="C388" s="2">
        <f t="shared" si="32"/>
        <v>1.4028</v>
      </c>
      <c r="D388">
        <f t="shared" si="33"/>
        <v>1.5028000000000001</v>
      </c>
      <c r="E388" s="3">
        <v>6.8</v>
      </c>
      <c r="F388">
        <f t="shared" si="30"/>
        <v>1.4028</v>
      </c>
      <c r="G388">
        <f t="shared" si="31"/>
        <v>2.1918750000000001E-2</v>
      </c>
    </row>
    <row r="389" spans="1:7">
      <c r="A389" s="1">
        <v>20150713</v>
      </c>
      <c r="B389" s="1">
        <v>85</v>
      </c>
      <c r="C389" s="2">
        <f t="shared" si="32"/>
        <v>1.4028</v>
      </c>
      <c r="D389">
        <f t="shared" si="33"/>
        <v>1.5028000000000001</v>
      </c>
      <c r="E389" s="3">
        <v>6.8</v>
      </c>
      <c r="F389">
        <f t="shared" si="30"/>
        <v>1.4028</v>
      </c>
      <c r="G389">
        <f t="shared" si="31"/>
        <v>1.6503529411764705E-2</v>
      </c>
    </row>
    <row r="390" spans="1:7">
      <c r="A390" s="1">
        <v>20150713</v>
      </c>
      <c r="B390" s="1">
        <v>79</v>
      </c>
      <c r="C390" s="2">
        <f t="shared" si="32"/>
        <v>1.4028</v>
      </c>
      <c r="D390">
        <f t="shared" si="33"/>
        <v>1.5028000000000001</v>
      </c>
      <c r="E390" s="3">
        <v>6.8</v>
      </c>
      <c r="F390">
        <f t="shared" si="30"/>
        <v>1.4028</v>
      </c>
      <c r="G390">
        <f t="shared" si="31"/>
        <v>1.7756962025316455E-2</v>
      </c>
    </row>
    <row r="391" spans="1:7">
      <c r="A391" s="1">
        <v>20150713</v>
      </c>
      <c r="B391" s="1">
        <v>77</v>
      </c>
      <c r="C391" s="2">
        <f t="shared" si="32"/>
        <v>1.4028</v>
      </c>
      <c r="D391">
        <f t="shared" si="33"/>
        <v>1.5028000000000001</v>
      </c>
      <c r="E391" s="3">
        <v>6.8</v>
      </c>
      <c r="F391">
        <f t="shared" si="30"/>
        <v>1.4028</v>
      </c>
      <c r="G391">
        <f t="shared" si="31"/>
        <v>1.8218181818181817E-2</v>
      </c>
    </row>
    <row r="392" spans="1:7">
      <c r="A392" s="1">
        <v>20150713</v>
      </c>
      <c r="B392" s="1">
        <v>20</v>
      </c>
      <c r="C392" s="2">
        <f t="shared" si="32"/>
        <v>2.1763000000000003</v>
      </c>
      <c r="D392">
        <f t="shared" si="33"/>
        <v>2.2763000000000004</v>
      </c>
      <c r="E392" s="3">
        <v>10.3</v>
      </c>
      <c r="F392">
        <f t="shared" si="30"/>
        <v>2.1763000000000003</v>
      </c>
      <c r="G392">
        <f t="shared" si="31"/>
        <v>0.10881500000000002</v>
      </c>
    </row>
    <row r="393" spans="1:7">
      <c r="A393" s="1">
        <v>20150713</v>
      </c>
      <c r="B393" s="1">
        <v>21</v>
      </c>
      <c r="C393" s="2">
        <f t="shared" si="32"/>
        <v>2.1763000000000003</v>
      </c>
      <c r="D393">
        <f t="shared" si="33"/>
        <v>2.2763000000000004</v>
      </c>
      <c r="E393" s="3">
        <v>10.3</v>
      </c>
      <c r="F393">
        <f t="shared" si="30"/>
        <v>2.1763000000000003</v>
      </c>
      <c r="G393">
        <f t="shared" si="31"/>
        <v>0.10363333333333336</v>
      </c>
    </row>
    <row r="394" spans="1:7">
      <c r="A394" s="1">
        <v>20150713</v>
      </c>
      <c r="B394" s="1">
        <v>14</v>
      </c>
      <c r="C394" s="2">
        <f t="shared" si="32"/>
        <v>2.1763000000000003</v>
      </c>
      <c r="D394">
        <f t="shared" si="33"/>
        <v>2.2763000000000004</v>
      </c>
      <c r="E394" s="3">
        <v>10.3</v>
      </c>
      <c r="F394">
        <f t="shared" si="30"/>
        <v>2.1763000000000003</v>
      </c>
      <c r="G394">
        <f t="shared" si="31"/>
        <v>0.15545000000000003</v>
      </c>
    </row>
    <row r="395" spans="1:7">
      <c r="A395" s="1">
        <v>20150713</v>
      </c>
      <c r="B395" s="1">
        <v>21</v>
      </c>
      <c r="C395" s="2">
        <f t="shared" si="32"/>
        <v>2.1763000000000003</v>
      </c>
      <c r="D395">
        <f t="shared" si="33"/>
        <v>2.2763000000000004</v>
      </c>
      <c r="E395" s="3">
        <v>10.3</v>
      </c>
      <c r="F395">
        <f t="shared" si="30"/>
        <v>2.1763000000000003</v>
      </c>
      <c r="G395">
        <f t="shared" si="31"/>
        <v>0.10363333333333336</v>
      </c>
    </row>
    <row r="396" spans="1:7">
      <c r="A396" s="1">
        <v>20150713</v>
      </c>
      <c r="B396" s="1">
        <v>27</v>
      </c>
      <c r="C396" s="2">
        <f t="shared" si="32"/>
        <v>2.1763000000000003</v>
      </c>
      <c r="D396">
        <f t="shared" si="33"/>
        <v>2.2763000000000004</v>
      </c>
      <c r="E396" s="3">
        <v>10.3</v>
      </c>
      <c r="F396">
        <f t="shared" si="30"/>
        <v>2.1763000000000003</v>
      </c>
      <c r="G396">
        <f t="shared" si="31"/>
        <v>8.0603703703703719E-2</v>
      </c>
    </row>
    <row r="397" spans="1:7">
      <c r="A397" s="1">
        <v>20150713</v>
      </c>
      <c r="B397" s="1">
        <v>29</v>
      </c>
      <c r="C397" s="2">
        <f t="shared" si="32"/>
        <v>1.1155000000000002</v>
      </c>
      <c r="D397">
        <f t="shared" si="33"/>
        <v>1.2155000000000002</v>
      </c>
      <c r="E397" s="3">
        <v>5.5</v>
      </c>
      <c r="F397">
        <f t="shared" si="30"/>
        <v>1.1155000000000002</v>
      </c>
      <c r="G397">
        <f t="shared" si="31"/>
        <v>3.8465517241379317E-2</v>
      </c>
    </row>
    <row r="398" spans="1:7">
      <c r="A398" s="1">
        <v>20150713</v>
      </c>
      <c r="B398" s="1">
        <v>29</v>
      </c>
      <c r="C398" s="2">
        <f t="shared" si="32"/>
        <v>1.1155000000000002</v>
      </c>
      <c r="D398">
        <f t="shared" si="33"/>
        <v>1.2155000000000002</v>
      </c>
      <c r="E398" s="3">
        <v>5.5</v>
      </c>
      <c r="F398">
        <f t="shared" si="30"/>
        <v>1.1155000000000002</v>
      </c>
      <c r="G398">
        <f t="shared" si="31"/>
        <v>3.8465517241379317E-2</v>
      </c>
    </row>
    <row r="399" spans="1:7">
      <c r="A399" s="1">
        <v>20150713</v>
      </c>
      <c r="B399" s="1">
        <v>32</v>
      </c>
      <c r="C399" s="2">
        <f t="shared" si="32"/>
        <v>1.1155000000000002</v>
      </c>
      <c r="D399">
        <f t="shared" si="33"/>
        <v>1.2155000000000002</v>
      </c>
      <c r="E399" s="3">
        <v>5.5</v>
      </c>
      <c r="F399">
        <f t="shared" si="30"/>
        <v>1.1155000000000002</v>
      </c>
      <c r="G399">
        <f t="shared" si="31"/>
        <v>3.4859375000000005E-2</v>
      </c>
    </row>
    <row r="400" spans="1:7">
      <c r="A400" s="1">
        <v>20150713</v>
      </c>
      <c r="B400" s="1">
        <v>26</v>
      </c>
      <c r="C400" s="2">
        <f t="shared" si="32"/>
        <v>1.1155000000000002</v>
      </c>
      <c r="D400">
        <f t="shared" si="33"/>
        <v>1.2155000000000002</v>
      </c>
      <c r="E400" s="3">
        <v>5.5</v>
      </c>
      <c r="F400">
        <f t="shared" si="30"/>
        <v>1.1155000000000002</v>
      </c>
      <c r="G400">
        <f t="shared" si="31"/>
        <v>4.290384615384616E-2</v>
      </c>
    </row>
    <row r="401" spans="1:7">
      <c r="A401" s="1">
        <v>20150713</v>
      </c>
      <c r="B401" s="1">
        <v>31</v>
      </c>
      <c r="C401" s="2">
        <f t="shared" si="32"/>
        <v>1.1155000000000002</v>
      </c>
      <c r="D401">
        <f t="shared" si="33"/>
        <v>1.2155000000000002</v>
      </c>
      <c r="E401" s="3">
        <v>5.5</v>
      </c>
      <c r="F401">
        <f t="shared" si="30"/>
        <v>1.1155000000000002</v>
      </c>
      <c r="G401">
        <f t="shared" si="31"/>
        <v>3.5983870967741943E-2</v>
      </c>
    </row>
    <row r="402" spans="1:7">
      <c r="A402" s="1">
        <v>20150713</v>
      </c>
      <c r="B402" s="1">
        <v>24</v>
      </c>
      <c r="C402" s="2">
        <f t="shared" si="32"/>
        <v>0.56300000000000006</v>
      </c>
      <c r="D402">
        <f t="shared" si="33"/>
        <v>0.66300000000000003</v>
      </c>
      <c r="E402" s="3">
        <v>3</v>
      </c>
      <c r="F402">
        <f t="shared" si="30"/>
        <v>0.56300000000000006</v>
      </c>
      <c r="G402">
        <f t="shared" si="31"/>
        <v>2.3458333333333335E-2</v>
      </c>
    </row>
    <row r="403" spans="1:7">
      <c r="A403" s="1">
        <v>20150713</v>
      </c>
      <c r="B403" s="1">
        <v>30</v>
      </c>
      <c r="C403" s="2">
        <f t="shared" si="32"/>
        <v>0.56300000000000006</v>
      </c>
      <c r="D403">
        <f t="shared" si="33"/>
        <v>0.66300000000000003</v>
      </c>
      <c r="E403" s="3">
        <v>3</v>
      </c>
      <c r="F403">
        <f t="shared" si="30"/>
        <v>0.56300000000000006</v>
      </c>
      <c r="G403">
        <f t="shared" si="31"/>
        <v>1.8766666666666668E-2</v>
      </c>
    </row>
    <row r="404" spans="1:7">
      <c r="A404" s="1">
        <v>20150713</v>
      </c>
      <c r="B404" s="1">
        <v>35</v>
      </c>
      <c r="C404" s="2">
        <f t="shared" si="32"/>
        <v>0.56300000000000006</v>
      </c>
      <c r="D404">
        <f t="shared" si="33"/>
        <v>0.66300000000000003</v>
      </c>
      <c r="E404" s="3">
        <v>3</v>
      </c>
      <c r="F404">
        <f t="shared" si="30"/>
        <v>0.56300000000000006</v>
      </c>
      <c r="G404">
        <f t="shared" si="31"/>
        <v>1.6085714285714287E-2</v>
      </c>
    </row>
    <row r="405" spans="1:7">
      <c r="A405" s="1">
        <v>20150713</v>
      </c>
      <c r="B405" s="1">
        <v>52</v>
      </c>
      <c r="C405" s="2">
        <f t="shared" si="32"/>
        <v>0.56300000000000006</v>
      </c>
      <c r="D405">
        <f t="shared" si="33"/>
        <v>0.66300000000000003</v>
      </c>
      <c r="E405" s="3">
        <v>3</v>
      </c>
      <c r="F405">
        <f t="shared" si="30"/>
        <v>0.56300000000000006</v>
      </c>
      <c r="G405">
        <f t="shared" si="31"/>
        <v>1.0826923076923078E-2</v>
      </c>
    </row>
    <row r="406" spans="1:7">
      <c r="A406" s="1">
        <v>20150713</v>
      </c>
      <c r="B406" s="1">
        <v>51</v>
      </c>
      <c r="C406" s="2">
        <f t="shared" si="32"/>
        <v>0.56300000000000006</v>
      </c>
      <c r="D406">
        <f t="shared" si="33"/>
        <v>0.66300000000000003</v>
      </c>
      <c r="E406" s="3">
        <v>3</v>
      </c>
      <c r="F406">
        <f t="shared" si="30"/>
        <v>0.56300000000000006</v>
      </c>
      <c r="G406">
        <f t="shared" si="31"/>
        <v>1.1039215686274511E-2</v>
      </c>
    </row>
    <row r="407" spans="1:7">
      <c r="A407" s="1">
        <v>20150713</v>
      </c>
      <c r="B407" s="1">
        <v>19</v>
      </c>
      <c r="C407" s="2">
        <f t="shared" si="32"/>
        <v>1.3365</v>
      </c>
      <c r="D407">
        <f t="shared" si="33"/>
        <v>1.4365000000000001</v>
      </c>
      <c r="E407" s="3">
        <v>6.5</v>
      </c>
      <c r="F407">
        <f t="shared" si="30"/>
        <v>1.3365</v>
      </c>
      <c r="G407">
        <f t="shared" si="31"/>
        <v>7.03421052631579E-2</v>
      </c>
    </row>
    <row r="408" spans="1:7">
      <c r="A408" s="1">
        <v>20150713</v>
      </c>
      <c r="B408" s="1">
        <v>22</v>
      </c>
      <c r="C408" s="2">
        <f t="shared" si="32"/>
        <v>1.3365</v>
      </c>
      <c r="D408">
        <f t="shared" si="33"/>
        <v>1.4365000000000001</v>
      </c>
      <c r="E408" s="3">
        <v>6.5</v>
      </c>
      <c r="F408">
        <f t="shared" si="30"/>
        <v>1.3365</v>
      </c>
      <c r="G408">
        <f t="shared" si="31"/>
        <v>6.0749999999999998E-2</v>
      </c>
    </row>
    <row r="409" spans="1:7">
      <c r="A409" s="1">
        <v>20150713</v>
      </c>
      <c r="B409" s="1">
        <v>19</v>
      </c>
      <c r="C409" s="2">
        <f t="shared" si="32"/>
        <v>1.3365</v>
      </c>
      <c r="D409">
        <f t="shared" si="33"/>
        <v>1.4365000000000001</v>
      </c>
      <c r="E409" s="3">
        <v>6.5</v>
      </c>
      <c r="F409">
        <f t="shared" si="30"/>
        <v>1.3365</v>
      </c>
      <c r="G409">
        <f t="shared" si="31"/>
        <v>7.03421052631579E-2</v>
      </c>
    </row>
    <row r="410" spans="1:7">
      <c r="A410" s="1">
        <v>20150713</v>
      </c>
      <c r="B410" s="1">
        <v>15</v>
      </c>
      <c r="C410" s="2">
        <f t="shared" si="32"/>
        <v>1.3365</v>
      </c>
      <c r="D410">
        <f t="shared" si="33"/>
        <v>1.4365000000000001</v>
      </c>
      <c r="E410" s="3">
        <v>6.5</v>
      </c>
      <c r="F410">
        <f t="shared" si="30"/>
        <v>1.3365</v>
      </c>
      <c r="G410">
        <f t="shared" si="31"/>
        <v>8.9099999999999999E-2</v>
      </c>
    </row>
    <row r="411" spans="1:7">
      <c r="A411" s="1">
        <v>20150713</v>
      </c>
      <c r="B411" s="1">
        <v>27</v>
      </c>
      <c r="C411" s="2">
        <f t="shared" si="32"/>
        <v>1.3365</v>
      </c>
      <c r="D411">
        <f t="shared" si="33"/>
        <v>1.4365000000000001</v>
      </c>
      <c r="E411" s="3">
        <v>6.5</v>
      </c>
      <c r="F411">
        <f t="shared" si="30"/>
        <v>1.3365</v>
      </c>
      <c r="G411">
        <f t="shared" si="31"/>
        <v>4.9500000000000002E-2</v>
      </c>
    </row>
    <row r="412" spans="1:7">
      <c r="A412" s="1">
        <v>20150713</v>
      </c>
      <c r="B412" s="1">
        <v>48</v>
      </c>
      <c r="C412" s="2">
        <f t="shared" si="32"/>
        <v>1.4028</v>
      </c>
      <c r="D412">
        <f t="shared" si="33"/>
        <v>1.5028000000000001</v>
      </c>
      <c r="E412" s="3">
        <v>6.8</v>
      </c>
      <c r="F412">
        <f t="shared" si="30"/>
        <v>1.4028</v>
      </c>
      <c r="G412">
        <f t="shared" si="31"/>
        <v>2.9225000000000001E-2</v>
      </c>
    </row>
    <row r="413" spans="1:7">
      <c r="A413" s="1">
        <v>20150713</v>
      </c>
      <c r="B413" s="1">
        <v>48</v>
      </c>
      <c r="C413" s="2">
        <f t="shared" si="32"/>
        <v>1.4028</v>
      </c>
      <c r="D413">
        <f t="shared" si="33"/>
        <v>1.5028000000000001</v>
      </c>
      <c r="E413" s="3">
        <v>6.8</v>
      </c>
      <c r="F413">
        <f t="shared" si="30"/>
        <v>1.4028</v>
      </c>
      <c r="G413">
        <f t="shared" si="31"/>
        <v>2.9225000000000001E-2</v>
      </c>
    </row>
    <row r="414" spans="1:7">
      <c r="A414" s="1">
        <v>20150713</v>
      </c>
      <c r="B414" s="1">
        <v>63</v>
      </c>
      <c r="C414" s="2">
        <f t="shared" si="32"/>
        <v>1.4028</v>
      </c>
      <c r="D414">
        <f t="shared" si="33"/>
        <v>1.5028000000000001</v>
      </c>
      <c r="E414" s="3">
        <v>6.8</v>
      </c>
      <c r="F414">
        <f t="shared" si="30"/>
        <v>1.4028</v>
      </c>
      <c r="G414">
        <f t="shared" si="31"/>
        <v>2.2266666666666667E-2</v>
      </c>
    </row>
    <row r="415" spans="1:7">
      <c r="A415" s="1">
        <v>20150713</v>
      </c>
      <c r="B415" s="1">
        <v>65</v>
      </c>
      <c r="C415" s="2">
        <f t="shared" si="32"/>
        <v>1.4028</v>
      </c>
      <c r="D415">
        <f t="shared" si="33"/>
        <v>1.5028000000000001</v>
      </c>
      <c r="E415" s="3">
        <v>6.8</v>
      </c>
      <c r="F415">
        <f t="shared" si="30"/>
        <v>1.4028</v>
      </c>
      <c r="G415">
        <f t="shared" si="31"/>
        <v>2.1581538461538461E-2</v>
      </c>
    </row>
    <row r="416" spans="1:7">
      <c r="A416" s="1">
        <v>20150713</v>
      </c>
      <c r="B416" s="1">
        <v>58</v>
      </c>
      <c r="C416" s="2">
        <f t="shared" si="32"/>
        <v>1.4028</v>
      </c>
      <c r="D416">
        <f t="shared" si="33"/>
        <v>1.5028000000000001</v>
      </c>
      <c r="E416" s="3">
        <v>6.8</v>
      </c>
      <c r="F416">
        <f t="shared" si="30"/>
        <v>1.4028</v>
      </c>
      <c r="G416">
        <f t="shared" si="31"/>
        <v>2.4186206896551724E-2</v>
      </c>
    </row>
    <row r="417" spans="1:7">
      <c r="A417" s="1">
        <v>20150713</v>
      </c>
      <c r="B417" s="1">
        <v>22</v>
      </c>
      <c r="C417" s="2">
        <f t="shared" si="32"/>
        <v>2.1763000000000003</v>
      </c>
      <c r="D417">
        <f t="shared" si="33"/>
        <v>2.2763000000000004</v>
      </c>
      <c r="E417" s="3">
        <v>10.3</v>
      </c>
      <c r="F417">
        <f t="shared" si="30"/>
        <v>2.1763000000000003</v>
      </c>
      <c r="G417">
        <f t="shared" si="31"/>
        <v>9.8922727272727287E-2</v>
      </c>
    </row>
    <row r="418" spans="1:7">
      <c r="A418" s="1">
        <v>20150713</v>
      </c>
      <c r="B418" s="1">
        <v>28</v>
      </c>
      <c r="C418" s="2">
        <f t="shared" si="32"/>
        <v>2.1763000000000003</v>
      </c>
      <c r="D418">
        <f t="shared" si="33"/>
        <v>2.2763000000000004</v>
      </c>
      <c r="E418" s="3">
        <v>10.3</v>
      </c>
      <c r="F418">
        <f t="shared" si="30"/>
        <v>2.1763000000000003</v>
      </c>
      <c r="G418">
        <f t="shared" si="31"/>
        <v>7.7725000000000016E-2</v>
      </c>
    </row>
    <row r="419" spans="1:7">
      <c r="A419" s="1">
        <v>20150713</v>
      </c>
      <c r="B419" s="1">
        <v>29</v>
      </c>
      <c r="C419" s="2">
        <f t="shared" si="32"/>
        <v>2.1763000000000003</v>
      </c>
      <c r="D419">
        <f t="shared" si="33"/>
        <v>2.2763000000000004</v>
      </c>
      <c r="E419" s="3">
        <v>10.3</v>
      </c>
      <c r="F419">
        <f t="shared" si="30"/>
        <v>2.1763000000000003</v>
      </c>
      <c r="G419">
        <f t="shared" si="31"/>
        <v>7.5044827586206911E-2</v>
      </c>
    </row>
    <row r="420" spans="1:7">
      <c r="A420" s="1">
        <v>20150713</v>
      </c>
      <c r="B420" s="1">
        <v>25</v>
      </c>
      <c r="C420" s="2">
        <f t="shared" si="32"/>
        <v>2.1763000000000003</v>
      </c>
      <c r="D420">
        <f t="shared" si="33"/>
        <v>2.2763000000000004</v>
      </c>
      <c r="E420" s="3">
        <v>10.3</v>
      </c>
      <c r="F420">
        <f t="shared" si="30"/>
        <v>2.1763000000000003</v>
      </c>
      <c r="G420">
        <f t="shared" si="31"/>
        <v>8.7052000000000018E-2</v>
      </c>
    </row>
    <row r="421" spans="1:7">
      <c r="A421" s="1">
        <v>20150713</v>
      </c>
      <c r="B421" s="1">
        <v>21</v>
      </c>
      <c r="C421" s="2">
        <f t="shared" si="32"/>
        <v>2.1763000000000003</v>
      </c>
      <c r="D421">
        <f t="shared" si="33"/>
        <v>2.2763000000000004</v>
      </c>
      <c r="E421" s="3">
        <v>10.3</v>
      </c>
      <c r="F421">
        <f t="shared" si="30"/>
        <v>2.1763000000000003</v>
      </c>
      <c r="G421">
        <f t="shared" si="31"/>
        <v>0.10363333333333336</v>
      </c>
    </row>
    <row r="422" spans="1:7">
      <c r="A422" s="1">
        <v>20150713</v>
      </c>
      <c r="B422" s="1">
        <v>32</v>
      </c>
      <c r="C422" s="2">
        <f t="shared" si="32"/>
        <v>1.1155000000000002</v>
      </c>
      <c r="D422">
        <f t="shared" si="33"/>
        <v>1.2155000000000002</v>
      </c>
      <c r="E422" s="3">
        <v>5.5</v>
      </c>
      <c r="F422">
        <f t="shared" si="30"/>
        <v>1.1155000000000002</v>
      </c>
      <c r="G422">
        <f t="shared" si="31"/>
        <v>3.4859375000000005E-2</v>
      </c>
    </row>
    <row r="423" spans="1:7">
      <c r="A423" s="1">
        <v>20150713</v>
      </c>
      <c r="B423" s="1">
        <v>35</v>
      </c>
      <c r="C423" s="2">
        <f t="shared" si="32"/>
        <v>1.1155000000000002</v>
      </c>
      <c r="D423">
        <f t="shared" si="33"/>
        <v>1.2155000000000002</v>
      </c>
      <c r="E423" s="3">
        <v>5.5</v>
      </c>
      <c r="F423">
        <f t="shared" si="30"/>
        <v>1.1155000000000002</v>
      </c>
      <c r="G423">
        <f t="shared" si="31"/>
        <v>3.1871428571428578E-2</v>
      </c>
    </row>
    <row r="424" spans="1:7">
      <c r="A424" s="1">
        <v>20150713</v>
      </c>
      <c r="B424" s="1">
        <v>36</v>
      </c>
      <c r="C424" s="2">
        <f t="shared" si="32"/>
        <v>1.1155000000000002</v>
      </c>
      <c r="D424">
        <f t="shared" si="33"/>
        <v>1.2155000000000002</v>
      </c>
      <c r="E424" s="3">
        <v>5.5</v>
      </c>
      <c r="F424">
        <f t="shared" si="30"/>
        <v>1.1155000000000002</v>
      </c>
      <c r="G424">
        <f t="shared" si="31"/>
        <v>3.0986111111111117E-2</v>
      </c>
    </row>
    <row r="425" spans="1:7">
      <c r="A425" s="1">
        <v>20150713</v>
      </c>
      <c r="B425" s="1">
        <v>30</v>
      </c>
      <c r="C425" s="2">
        <f t="shared" si="32"/>
        <v>1.1155000000000002</v>
      </c>
      <c r="D425">
        <f t="shared" si="33"/>
        <v>1.2155000000000002</v>
      </c>
      <c r="E425" s="3">
        <v>5.5</v>
      </c>
      <c r="F425">
        <f t="shared" ref="F425:F488" si="34">C425</f>
        <v>1.1155000000000002</v>
      </c>
      <c r="G425">
        <f t="shared" ref="G425:G488" si="35">F425/B425</f>
        <v>3.7183333333333339E-2</v>
      </c>
    </row>
    <row r="426" spans="1:7">
      <c r="A426" s="1">
        <v>20150713</v>
      </c>
      <c r="B426" s="1">
        <v>35</v>
      </c>
      <c r="C426" s="2">
        <f t="shared" si="32"/>
        <v>1.1155000000000002</v>
      </c>
      <c r="D426">
        <f t="shared" si="33"/>
        <v>1.2155000000000002</v>
      </c>
      <c r="E426" s="3">
        <v>5.5</v>
      </c>
      <c r="F426">
        <f t="shared" si="34"/>
        <v>1.1155000000000002</v>
      </c>
      <c r="G426">
        <f t="shared" si="35"/>
        <v>3.1871428571428578E-2</v>
      </c>
    </row>
    <row r="427" spans="1:7">
      <c r="A427" s="1">
        <v>20150713</v>
      </c>
      <c r="B427" s="1">
        <v>42</v>
      </c>
      <c r="C427" s="2">
        <f t="shared" ref="C427:C490" si="36">D427-$S$15</f>
        <v>0.56300000000000006</v>
      </c>
      <c r="D427">
        <f t="shared" si="33"/>
        <v>0.66300000000000003</v>
      </c>
      <c r="E427" s="3">
        <v>3</v>
      </c>
      <c r="F427">
        <f t="shared" si="34"/>
        <v>0.56300000000000006</v>
      </c>
      <c r="G427">
        <f t="shared" si="35"/>
        <v>1.3404761904761905E-2</v>
      </c>
    </row>
    <row r="428" spans="1:7">
      <c r="A428" s="1">
        <v>20150713</v>
      </c>
      <c r="B428" s="1">
        <v>48</v>
      </c>
      <c r="C428" s="2">
        <f t="shared" si="36"/>
        <v>0.56300000000000006</v>
      </c>
      <c r="D428">
        <f t="shared" si="33"/>
        <v>0.66300000000000003</v>
      </c>
      <c r="E428" s="3">
        <v>3</v>
      </c>
      <c r="F428">
        <f t="shared" si="34"/>
        <v>0.56300000000000006</v>
      </c>
      <c r="G428">
        <f t="shared" si="35"/>
        <v>1.1729166666666667E-2</v>
      </c>
    </row>
    <row r="429" spans="1:7">
      <c r="A429" s="1">
        <v>20150713</v>
      </c>
      <c r="B429" s="1">
        <v>55</v>
      </c>
      <c r="C429" s="2">
        <f t="shared" si="36"/>
        <v>0.56300000000000006</v>
      </c>
      <c r="D429">
        <f t="shared" si="33"/>
        <v>0.66300000000000003</v>
      </c>
      <c r="E429" s="3">
        <v>3</v>
      </c>
      <c r="F429">
        <f t="shared" si="34"/>
        <v>0.56300000000000006</v>
      </c>
      <c r="G429">
        <f t="shared" si="35"/>
        <v>1.0236363636363637E-2</v>
      </c>
    </row>
    <row r="430" spans="1:7">
      <c r="A430" s="1">
        <v>20150713</v>
      </c>
      <c r="B430" s="1">
        <v>54</v>
      </c>
      <c r="C430" s="2">
        <f t="shared" si="36"/>
        <v>0.56300000000000006</v>
      </c>
      <c r="D430">
        <f t="shared" si="33"/>
        <v>0.66300000000000003</v>
      </c>
      <c r="E430" s="3">
        <v>3</v>
      </c>
      <c r="F430">
        <f t="shared" si="34"/>
        <v>0.56300000000000006</v>
      </c>
      <c r="G430">
        <f t="shared" si="35"/>
        <v>1.0425925925925927E-2</v>
      </c>
    </row>
    <row r="431" spans="1:7">
      <c r="A431" s="1">
        <v>20150713</v>
      </c>
      <c r="B431" s="1">
        <v>61</v>
      </c>
      <c r="C431" s="2">
        <f t="shared" si="36"/>
        <v>0.56300000000000006</v>
      </c>
      <c r="D431">
        <f t="shared" si="33"/>
        <v>0.66300000000000003</v>
      </c>
      <c r="E431" s="3">
        <v>3</v>
      </c>
      <c r="F431">
        <f t="shared" si="34"/>
        <v>0.56300000000000006</v>
      </c>
      <c r="G431">
        <f t="shared" si="35"/>
        <v>9.229508196721312E-3</v>
      </c>
    </row>
    <row r="432" spans="1:7">
      <c r="A432" s="1">
        <v>20150713</v>
      </c>
      <c r="B432" s="1">
        <v>24</v>
      </c>
      <c r="C432" s="2">
        <f t="shared" si="36"/>
        <v>1.3365</v>
      </c>
      <c r="D432">
        <f t="shared" si="33"/>
        <v>1.4365000000000001</v>
      </c>
      <c r="E432" s="3">
        <v>6.5</v>
      </c>
      <c r="F432">
        <f t="shared" si="34"/>
        <v>1.3365</v>
      </c>
      <c r="G432">
        <f t="shared" si="35"/>
        <v>5.5687500000000001E-2</v>
      </c>
    </row>
    <row r="433" spans="1:7">
      <c r="A433" s="1">
        <v>20150713</v>
      </c>
      <c r="B433" s="1">
        <v>36</v>
      </c>
      <c r="C433" s="2">
        <f t="shared" si="36"/>
        <v>1.3365</v>
      </c>
      <c r="D433">
        <f t="shared" si="33"/>
        <v>1.4365000000000001</v>
      </c>
      <c r="E433" s="3">
        <v>6.5</v>
      </c>
      <c r="F433">
        <f t="shared" si="34"/>
        <v>1.3365</v>
      </c>
      <c r="G433">
        <f t="shared" si="35"/>
        <v>3.7124999999999998E-2</v>
      </c>
    </row>
    <row r="434" spans="1:7">
      <c r="A434" s="1">
        <v>20150713</v>
      </c>
      <c r="B434" s="1">
        <v>49</v>
      </c>
      <c r="C434" s="2">
        <f t="shared" si="36"/>
        <v>1.3365</v>
      </c>
      <c r="D434">
        <f t="shared" si="33"/>
        <v>1.4365000000000001</v>
      </c>
      <c r="E434" s="3">
        <v>6.5</v>
      </c>
      <c r="F434">
        <f t="shared" si="34"/>
        <v>1.3365</v>
      </c>
      <c r="G434">
        <f t="shared" si="35"/>
        <v>2.7275510204081633E-2</v>
      </c>
    </row>
    <row r="435" spans="1:7">
      <c r="A435" s="1">
        <v>20150713</v>
      </c>
      <c r="B435" s="1">
        <v>28</v>
      </c>
      <c r="C435" s="2">
        <f t="shared" si="36"/>
        <v>1.3365</v>
      </c>
      <c r="D435">
        <f t="shared" si="33"/>
        <v>1.4365000000000001</v>
      </c>
      <c r="E435" s="3">
        <v>6.5</v>
      </c>
      <c r="F435">
        <f t="shared" si="34"/>
        <v>1.3365</v>
      </c>
      <c r="G435">
        <f t="shared" si="35"/>
        <v>4.7732142857142855E-2</v>
      </c>
    </row>
    <row r="436" spans="1:7">
      <c r="A436" s="1">
        <v>20150713</v>
      </c>
      <c r="B436" s="1">
        <v>22</v>
      </c>
      <c r="C436" s="2">
        <f t="shared" si="36"/>
        <v>1.3365</v>
      </c>
      <c r="D436">
        <f t="shared" si="33"/>
        <v>1.4365000000000001</v>
      </c>
      <c r="E436" s="3">
        <v>6.5</v>
      </c>
      <c r="F436">
        <f t="shared" si="34"/>
        <v>1.3365</v>
      </c>
      <c r="G436">
        <f t="shared" si="35"/>
        <v>6.0749999999999998E-2</v>
      </c>
    </row>
    <row r="437" spans="1:7">
      <c r="A437" s="1">
        <v>20150713</v>
      </c>
      <c r="B437" s="1">
        <v>6</v>
      </c>
      <c r="C437" s="2">
        <f t="shared" si="36"/>
        <v>1.4028</v>
      </c>
      <c r="D437">
        <f t="shared" si="33"/>
        <v>1.5028000000000001</v>
      </c>
      <c r="E437" s="3">
        <v>6.8</v>
      </c>
      <c r="F437">
        <f t="shared" si="34"/>
        <v>1.4028</v>
      </c>
      <c r="G437">
        <f t="shared" si="35"/>
        <v>0.23380000000000001</v>
      </c>
    </row>
    <row r="438" spans="1:7">
      <c r="A438" s="1">
        <v>20150713</v>
      </c>
      <c r="B438" s="1">
        <v>16</v>
      </c>
      <c r="C438" s="2">
        <f t="shared" si="36"/>
        <v>1.4028</v>
      </c>
      <c r="D438">
        <f t="shared" si="33"/>
        <v>1.5028000000000001</v>
      </c>
      <c r="E438" s="3">
        <v>6.8</v>
      </c>
      <c r="F438">
        <f t="shared" si="34"/>
        <v>1.4028</v>
      </c>
      <c r="G438">
        <f t="shared" si="35"/>
        <v>8.7675000000000003E-2</v>
      </c>
    </row>
    <row r="439" spans="1:7">
      <c r="A439" s="1">
        <v>20150713</v>
      </c>
      <c r="B439" s="1">
        <v>6</v>
      </c>
      <c r="C439" s="2">
        <f t="shared" si="36"/>
        <v>1.4028</v>
      </c>
      <c r="D439">
        <f t="shared" si="33"/>
        <v>1.5028000000000001</v>
      </c>
      <c r="E439" s="3">
        <v>6.8</v>
      </c>
      <c r="F439">
        <f t="shared" si="34"/>
        <v>1.4028</v>
      </c>
      <c r="G439">
        <f t="shared" si="35"/>
        <v>0.23380000000000001</v>
      </c>
    </row>
    <row r="440" spans="1:7">
      <c r="A440" s="1">
        <v>20150713</v>
      </c>
      <c r="B440" s="1">
        <v>11</v>
      </c>
      <c r="C440" s="2">
        <f t="shared" si="36"/>
        <v>1.4028</v>
      </c>
      <c r="D440">
        <f t="shared" si="33"/>
        <v>1.5028000000000001</v>
      </c>
      <c r="E440" s="3">
        <v>6.8</v>
      </c>
      <c r="F440">
        <f t="shared" si="34"/>
        <v>1.4028</v>
      </c>
      <c r="G440">
        <f t="shared" si="35"/>
        <v>0.12752727272727274</v>
      </c>
    </row>
    <row r="441" spans="1:7">
      <c r="A441" s="1">
        <v>20150713</v>
      </c>
      <c r="B441" s="1">
        <v>11</v>
      </c>
      <c r="C441" s="2">
        <f t="shared" si="36"/>
        <v>1.4028</v>
      </c>
      <c r="D441">
        <f t="shared" si="33"/>
        <v>1.5028000000000001</v>
      </c>
      <c r="E441" s="3">
        <v>6.8</v>
      </c>
      <c r="F441">
        <f t="shared" si="34"/>
        <v>1.4028</v>
      </c>
      <c r="G441">
        <f t="shared" si="35"/>
        <v>0.12752727272727274</v>
      </c>
    </row>
    <row r="442" spans="1:7">
      <c r="A442" s="1">
        <v>20150713</v>
      </c>
      <c r="B442" s="1">
        <v>25</v>
      </c>
      <c r="C442" s="2">
        <f t="shared" si="36"/>
        <v>1.6901000000000002</v>
      </c>
      <c r="D442">
        <f t="shared" si="33"/>
        <v>1.7901000000000002</v>
      </c>
      <c r="E442" s="3">
        <v>8.1</v>
      </c>
      <c r="F442">
        <f t="shared" si="34"/>
        <v>1.6901000000000002</v>
      </c>
      <c r="G442">
        <f t="shared" si="35"/>
        <v>6.7604000000000011E-2</v>
      </c>
    </row>
    <row r="443" spans="1:7">
      <c r="A443" s="1">
        <v>20150713</v>
      </c>
      <c r="B443" s="1">
        <v>12</v>
      </c>
      <c r="C443" s="2">
        <f t="shared" si="36"/>
        <v>1.6901000000000002</v>
      </c>
      <c r="D443">
        <f t="shared" si="33"/>
        <v>1.7901000000000002</v>
      </c>
      <c r="E443" s="3">
        <v>8.1</v>
      </c>
      <c r="F443">
        <f t="shared" si="34"/>
        <v>1.6901000000000002</v>
      </c>
      <c r="G443">
        <f t="shared" si="35"/>
        <v>0.14084166666666667</v>
      </c>
    </row>
    <row r="444" spans="1:7">
      <c r="A444" s="1">
        <v>20150713</v>
      </c>
      <c r="B444" s="1">
        <v>10</v>
      </c>
      <c r="C444" s="2">
        <f t="shared" si="36"/>
        <v>1.6901000000000002</v>
      </c>
      <c r="D444">
        <f t="shared" si="33"/>
        <v>1.7901000000000002</v>
      </c>
      <c r="E444" s="3">
        <v>8.1</v>
      </c>
      <c r="F444">
        <f t="shared" si="34"/>
        <v>1.6901000000000002</v>
      </c>
      <c r="G444">
        <f t="shared" si="35"/>
        <v>0.16901000000000002</v>
      </c>
    </row>
    <row r="445" spans="1:7">
      <c r="A445" s="1">
        <v>20150713</v>
      </c>
      <c r="B445" s="1">
        <v>18</v>
      </c>
      <c r="C445" s="2">
        <f t="shared" si="36"/>
        <v>1.6901000000000002</v>
      </c>
      <c r="D445">
        <f t="shared" si="33"/>
        <v>1.7901000000000002</v>
      </c>
      <c r="E445" s="3">
        <v>8.1</v>
      </c>
      <c r="F445">
        <f t="shared" si="34"/>
        <v>1.6901000000000002</v>
      </c>
      <c r="G445">
        <f t="shared" si="35"/>
        <v>9.3894444444444447E-2</v>
      </c>
    </row>
    <row r="446" spans="1:7">
      <c r="A446" s="1">
        <v>20150713</v>
      </c>
      <c r="B446" s="1">
        <v>27</v>
      </c>
      <c r="C446" s="2">
        <f t="shared" si="36"/>
        <v>1.6901000000000002</v>
      </c>
      <c r="D446">
        <f t="shared" si="33"/>
        <v>1.7901000000000002</v>
      </c>
      <c r="E446" s="3">
        <v>8.1</v>
      </c>
      <c r="F446">
        <f t="shared" si="34"/>
        <v>1.6901000000000002</v>
      </c>
      <c r="G446">
        <f t="shared" si="35"/>
        <v>6.2596296296296303E-2</v>
      </c>
    </row>
    <row r="447" spans="1:7">
      <c r="A447" s="1">
        <v>20150713</v>
      </c>
      <c r="B447" s="1">
        <v>5</v>
      </c>
      <c r="C447" s="2">
        <f t="shared" si="36"/>
        <v>2.3973000000000004</v>
      </c>
      <c r="D447">
        <f t="shared" si="33"/>
        <v>2.4973000000000005</v>
      </c>
      <c r="E447" s="3">
        <v>11.3</v>
      </c>
      <c r="F447">
        <f t="shared" si="34"/>
        <v>2.3973000000000004</v>
      </c>
      <c r="G447">
        <f t="shared" si="35"/>
        <v>0.47946000000000011</v>
      </c>
    </row>
    <row r="448" spans="1:7">
      <c r="A448" s="1">
        <v>20150713</v>
      </c>
      <c r="B448" s="1">
        <v>8</v>
      </c>
      <c r="C448" s="2">
        <f t="shared" si="36"/>
        <v>2.3973000000000004</v>
      </c>
      <c r="D448">
        <f t="shared" si="33"/>
        <v>2.4973000000000005</v>
      </c>
      <c r="E448" s="3">
        <v>11.3</v>
      </c>
      <c r="F448">
        <f t="shared" si="34"/>
        <v>2.3973000000000004</v>
      </c>
      <c r="G448">
        <f t="shared" si="35"/>
        <v>0.29966250000000005</v>
      </c>
    </row>
    <row r="449" spans="1:7">
      <c r="A449" s="1">
        <v>20150713</v>
      </c>
      <c r="B449" s="1">
        <v>7</v>
      </c>
      <c r="C449" s="2">
        <f t="shared" si="36"/>
        <v>2.3973000000000004</v>
      </c>
      <c r="D449">
        <f t="shared" si="33"/>
        <v>2.4973000000000005</v>
      </c>
      <c r="E449" s="3">
        <v>11.3</v>
      </c>
      <c r="F449">
        <f t="shared" si="34"/>
        <v>2.3973000000000004</v>
      </c>
      <c r="G449">
        <f t="shared" si="35"/>
        <v>0.34247142857142865</v>
      </c>
    </row>
    <row r="450" spans="1:7">
      <c r="A450" s="1">
        <v>20150713</v>
      </c>
      <c r="B450" s="1">
        <v>7</v>
      </c>
      <c r="C450" s="2">
        <f t="shared" si="36"/>
        <v>2.3973000000000004</v>
      </c>
      <c r="D450">
        <f t="shared" ref="D450:D496" si="37">0.17*($H$2/12)*E450</f>
        <v>2.4973000000000005</v>
      </c>
      <c r="E450" s="3">
        <v>11.3</v>
      </c>
      <c r="F450">
        <f t="shared" si="34"/>
        <v>2.3973000000000004</v>
      </c>
      <c r="G450">
        <f t="shared" si="35"/>
        <v>0.34247142857142865</v>
      </c>
    </row>
    <row r="451" spans="1:7">
      <c r="A451" s="1">
        <v>20150713</v>
      </c>
      <c r="B451" s="1">
        <v>6</v>
      </c>
      <c r="C451" s="2">
        <f t="shared" si="36"/>
        <v>2.3973000000000004</v>
      </c>
      <c r="D451">
        <f t="shared" si="37"/>
        <v>2.4973000000000005</v>
      </c>
      <c r="E451" s="3">
        <v>11.3</v>
      </c>
      <c r="F451">
        <f t="shared" si="34"/>
        <v>2.3973000000000004</v>
      </c>
      <c r="G451">
        <f t="shared" si="35"/>
        <v>0.39955000000000007</v>
      </c>
    </row>
    <row r="452" spans="1:7">
      <c r="A452" s="1">
        <v>20150713</v>
      </c>
      <c r="B452" s="1">
        <v>6</v>
      </c>
      <c r="C452" s="2">
        <f t="shared" si="36"/>
        <v>2.3752</v>
      </c>
      <c r="D452">
        <f t="shared" si="37"/>
        <v>2.4752000000000001</v>
      </c>
      <c r="E452" s="3">
        <v>11.2</v>
      </c>
      <c r="F452">
        <f t="shared" si="34"/>
        <v>2.3752</v>
      </c>
      <c r="G452">
        <f t="shared" si="35"/>
        <v>0.39586666666666664</v>
      </c>
    </row>
    <row r="453" spans="1:7">
      <c r="A453" s="1">
        <v>20150713</v>
      </c>
      <c r="B453" s="1">
        <v>2</v>
      </c>
      <c r="C453" s="2">
        <f t="shared" si="36"/>
        <v>2.3752</v>
      </c>
      <c r="D453">
        <f t="shared" si="37"/>
        <v>2.4752000000000001</v>
      </c>
      <c r="E453" s="3">
        <v>11.2</v>
      </c>
      <c r="F453">
        <f t="shared" si="34"/>
        <v>2.3752</v>
      </c>
      <c r="G453">
        <f t="shared" si="35"/>
        <v>1.1876</v>
      </c>
    </row>
    <row r="454" spans="1:7">
      <c r="A454" s="1">
        <v>20150713</v>
      </c>
      <c r="B454" s="1">
        <v>5</v>
      </c>
      <c r="C454" s="2">
        <f t="shared" si="36"/>
        <v>2.3752</v>
      </c>
      <c r="D454">
        <f t="shared" si="37"/>
        <v>2.4752000000000001</v>
      </c>
      <c r="E454" s="3">
        <v>11.2</v>
      </c>
      <c r="F454">
        <f t="shared" si="34"/>
        <v>2.3752</v>
      </c>
      <c r="G454">
        <f t="shared" si="35"/>
        <v>0.47504000000000002</v>
      </c>
    </row>
    <row r="455" spans="1:7">
      <c r="A455" s="1">
        <v>20150713</v>
      </c>
      <c r="B455" s="1">
        <v>9</v>
      </c>
      <c r="C455" s="2">
        <f t="shared" si="36"/>
        <v>2.3752</v>
      </c>
      <c r="D455">
        <f t="shared" si="37"/>
        <v>2.4752000000000001</v>
      </c>
      <c r="E455" s="3">
        <v>11.2</v>
      </c>
      <c r="F455">
        <f t="shared" si="34"/>
        <v>2.3752</v>
      </c>
      <c r="G455">
        <f t="shared" si="35"/>
        <v>0.2639111111111111</v>
      </c>
    </row>
    <row r="456" spans="1:7">
      <c r="A456" s="1">
        <v>20150713</v>
      </c>
      <c r="B456" s="1">
        <v>9</v>
      </c>
      <c r="C456" s="2">
        <f t="shared" si="36"/>
        <v>2.3752</v>
      </c>
      <c r="D456">
        <f t="shared" si="37"/>
        <v>2.4752000000000001</v>
      </c>
      <c r="E456" s="3">
        <v>11.2</v>
      </c>
      <c r="F456">
        <f t="shared" si="34"/>
        <v>2.3752</v>
      </c>
      <c r="G456">
        <f t="shared" si="35"/>
        <v>0.2639111111111111</v>
      </c>
    </row>
    <row r="457" spans="1:7">
      <c r="A457" s="1">
        <v>20150713</v>
      </c>
      <c r="B457" s="1">
        <v>11</v>
      </c>
      <c r="C457" s="2">
        <f t="shared" si="36"/>
        <v>1.4028</v>
      </c>
      <c r="D457">
        <f t="shared" si="37"/>
        <v>1.5028000000000001</v>
      </c>
      <c r="E457" s="3">
        <v>6.8</v>
      </c>
      <c r="F457">
        <f t="shared" si="34"/>
        <v>1.4028</v>
      </c>
      <c r="G457">
        <f t="shared" si="35"/>
        <v>0.12752727272727274</v>
      </c>
    </row>
    <row r="458" spans="1:7">
      <c r="A458" s="1">
        <v>20150713</v>
      </c>
      <c r="B458" s="1">
        <v>6</v>
      </c>
      <c r="C458" s="2">
        <f t="shared" si="36"/>
        <v>1.4028</v>
      </c>
      <c r="D458">
        <f t="shared" si="37"/>
        <v>1.5028000000000001</v>
      </c>
      <c r="E458" s="3">
        <v>6.8</v>
      </c>
      <c r="F458">
        <f t="shared" si="34"/>
        <v>1.4028</v>
      </c>
      <c r="G458">
        <f t="shared" si="35"/>
        <v>0.23380000000000001</v>
      </c>
    </row>
    <row r="459" spans="1:7">
      <c r="A459" s="1">
        <v>20150713</v>
      </c>
      <c r="B459" s="1">
        <v>19</v>
      </c>
      <c r="C459" s="2">
        <f t="shared" si="36"/>
        <v>1.4028</v>
      </c>
      <c r="D459">
        <f t="shared" si="37"/>
        <v>1.5028000000000001</v>
      </c>
      <c r="E459" s="3">
        <v>6.8</v>
      </c>
      <c r="F459">
        <f t="shared" si="34"/>
        <v>1.4028</v>
      </c>
      <c r="G459">
        <f t="shared" si="35"/>
        <v>7.3831578947368429E-2</v>
      </c>
    </row>
    <row r="460" spans="1:7">
      <c r="A460" s="1">
        <v>20150713</v>
      </c>
      <c r="B460" s="1">
        <v>22</v>
      </c>
      <c r="C460" s="2">
        <f t="shared" si="36"/>
        <v>1.4028</v>
      </c>
      <c r="D460">
        <f t="shared" si="37"/>
        <v>1.5028000000000001</v>
      </c>
      <c r="E460" s="3">
        <v>6.8</v>
      </c>
      <c r="F460">
        <f t="shared" si="34"/>
        <v>1.4028</v>
      </c>
      <c r="G460">
        <f t="shared" si="35"/>
        <v>6.376363636363637E-2</v>
      </c>
    </row>
    <row r="461" spans="1:7">
      <c r="A461" s="1">
        <v>20150713</v>
      </c>
      <c r="B461" s="1">
        <v>25</v>
      </c>
      <c r="C461" s="2">
        <f t="shared" si="36"/>
        <v>1.4028</v>
      </c>
      <c r="D461">
        <f t="shared" si="37"/>
        <v>1.5028000000000001</v>
      </c>
      <c r="E461" s="3">
        <v>6.8</v>
      </c>
      <c r="F461">
        <f t="shared" si="34"/>
        <v>1.4028</v>
      </c>
      <c r="G461">
        <f t="shared" si="35"/>
        <v>5.6112000000000002E-2</v>
      </c>
    </row>
    <row r="462" spans="1:7">
      <c r="A462" s="1">
        <v>20150713</v>
      </c>
      <c r="B462" s="1">
        <v>55</v>
      </c>
      <c r="C462" s="2">
        <f t="shared" si="36"/>
        <v>1.6901000000000002</v>
      </c>
      <c r="D462">
        <f t="shared" si="37"/>
        <v>1.7901000000000002</v>
      </c>
      <c r="E462" s="3">
        <v>8.1</v>
      </c>
      <c r="F462">
        <f t="shared" si="34"/>
        <v>1.6901000000000002</v>
      </c>
      <c r="G462">
        <f t="shared" si="35"/>
        <v>3.0729090909090911E-2</v>
      </c>
    </row>
    <row r="463" spans="1:7">
      <c r="A463" s="1">
        <v>20150713</v>
      </c>
      <c r="B463" s="1">
        <v>17</v>
      </c>
      <c r="C463" s="2">
        <f t="shared" si="36"/>
        <v>1.6901000000000002</v>
      </c>
      <c r="D463">
        <f t="shared" si="37"/>
        <v>1.7901000000000002</v>
      </c>
      <c r="E463" s="3">
        <v>8.1</v>
      </c>
      <c r="F463">
        <f t="shared" si="34"/>
        <v>1.6901000000000002</v>
      </c>
      <c r="G463">
        <f t="shared" si="35"/>
        <v>9.9417647058823541E-2</v>
      </c>
    </row>
    <row r="464" spans="1:7">
      <c r="A464" s="1">
        <v>20150713</v>
      </c>
      <c r="B464" s="1">
        <v>22</v>
      </c>
      <c r="C464" s="2">
        <f t="shared" si="36"/>
        <v>1.6901000000000002</v>
      </c>
      <c r="D464">
        <f t="shared" si="37"/>
        <v>1.7901000000000002</v>
      </c>
      <c r="E464" s="3">
        <v>8.1</v>
      </c>
      <c r="F464">
        <f t="shared" si="34"/>
        <v>1.6901000000000002</v>
      </c>
      <c r="G464">
        <f t="shared" si="35"/>
        <v>7.6822727272727279E-2</v>
      </c>
    </row>
    <row r="465" spans="1:7">
      <c r="A465" s="1">
        <v>20150713</v>
      </c>
      <c r="B465" s="1">
        <v>22</v>
      </c>
      <c r="C465" s="2">
        <f t="shared" si="36"/>
        <v>1.6901000000000002</v>
      </c>
      <c r="D465">
        <f t="shared" si="37"/>
        <v>1.7901000000000002</v>
      </c>
      <c r="E465" s="3">
        <v>8.1</v>
      </c>
      <c r="F465">
        <f t="shared" si="34"/>
        <v>1.6901000000000002</v>
      </c>
      <c r="G465">
        <f t="shared" si="35"/>
        <v>7.6822727272727279E-2</v>
      </c>
    </row>
    <row r="466" spans="1:7">
      <c r="A466" s="1">
        <v>20150713</v>
      </c>
      <c r="B466" s="1">
        <v>27</v>
      </c>
      <c r="C466" s="2">
        <f t="shared" si="36"/>
        <v>1.6901000000000002</v>
      </c>
      <c r="D466">
        <f t="shared" si="37"/>
        <v>1.7901000000000002</v>
      </c>
      <c r="E466" s="3">
        <v>8.1</v>
      </c>
      <c r="F466">
        <f t="shared" si="34"/>
        <v>1.6901000000000002</v>
      </c>
      <c r="G466">
        <f t="shared" si="35"/>
        <v>6.2596296296296303E-2</v>
      </c>
    </row>
    <row r="467" spans="1:7">
      <c r="A467" s="1">
        <v>20150713</v>
      </c>
      <c r="B467" s="1">
        <v>9</v>
      </c>
      <c r="C467" s="2">
        <f t="shared" si="36"/>
        <v>2.3973000000000004</v>
      </c>
      <c r="D467">
        <f t="shared" si="37"/>
        <v>2.4973000000000005</v>
      </c>
      <c r="E467" s="3">
        <v>11.3</v>
      </c>
      <c r="F467">
        <f t="shared" si="34"/>
        <v>2.3973000000000004</v>
      </c>
      <c r="G467">
        <f t="shared" si="35"/>
        <v>0.2663666666666667</v>
      </c>
    </row>
    <row r="468" spans="1:7">
      <c r="A468" s="1">
        <v>20150713</v>
      </c>
      <c r="B468" s="1">
        <v>11</v>
      </c>
      <c r="C468" s="2">
        <f t="shared" si="36"/>
        <v>2.3973000000000004</v>
      </c>
      <c r="D468">
        <f t="shared" si="37"/>
        <v>2.4973000000000005</v>
      </c>
      <c r="E468" s="3">
        <v>11.3</v>
      </c>
      <c r="F468">
        <f t="shared" si="34"/>
        <v>2.3973000000000004</v>
      </c>
      <c r="G468">
        <f t="shared" si="35"/>
        <v>0.21793636363636368</v>
      </c>
    </row>
    <row r="469" spans="1:7">
      <c r="A469" s="1">
        <v>20150713</v>
      </c>
      <c r="B469" s="1">
        <v>3</v>
      </c>
      <c r="C469" s="2">
        <f t="shared" si="36"/>
        <v>2.3973000000000004</v>
      </c>
      <c r="D469">
        <f t="shared" si="37"/>
        <v>2.4973000000000005</v>
      </c>
      <c r="E469" s="3">
        <v>11.3</v>
      </c>
      <c r="F469">
        <f t="shared" si="34"/>
        <v>2.3973000000000004</v>
      </c>
      <c r="G469">
        <f t="shared" si="35"/>
        <v>0.79910000000000014</v>
      </c>
    </row>
    <row r="470" spans="1:7">
      <c r="A470" s="1">
        <v>20150713</v>
      </c>
      <c r="B470" s="1">
        <v>6</v>
      </c>
      <c r="C470" s="2">
        <f t="shared" si="36"/>
        <v>2.3973000000000004</v>
      </c>
      <c r="D470">
        <f t="shared" si="37"/>
        <v>2.4973000000000005</v>
      </c>
      <c r="E470" s="3">
        <v>11.3</v>
      </c>
      <c r="F470">
        <f t="shared" si="34"/>
        <v>2.3973000000000004</v>
      </c>
      <c r="G470">
        <f t="shared" si="35"/>
        <v>0.39955000000000007</v>
      </c>
    </row>
    <row r="471" spans="1:7">
      <c r="A471" s="1">
        <v>20150713</v>
      </c>
      <c r="B471" s="1">
        <v>12</v>
      </c>
      <c r="C471" s="2">
        <f t="shared" si="36"/>
        <v>2.3973000000000004</v>
      </c>
      <c r="D471">
        <f t="shared" si="37"/>
        <v>2.4973000000000005</v>
      </c>
      <c r="E471" s="3">
        <v>11.3</v>
      </c>
      <c r="F471">
        <f t="shared" si="34"/>
        <v>2.3973000000000004</v>
      </c>
      <c r="G471">
        <f t="shared" si="35"/>
        <v>0.19977500000000004</v>
      </c>
    </row>
    <row r="472" spans="1:7">
      <c r="A472" s="1">
        <v>20150713</v>
      </c>
      <c r="B472" s="1">
        <v>7</v>
      </c>
      <c r="C472" s="2">
        <f t="shared" si="36"/>
        <v>2.3752</v>
      </c>
      <c r="D472">
        <f t="shared" si="37"/>
        <v>2.4752000000000001</v>
      </c>
      <c r="E472" s="3">
        <v>11.2</v>
      </c>
      <c r="F472">
        <f t="shared" si="34"/>
        <v>2.3752</v>
      </c>
      <c r="G472">
        <f t="shared" si="35"/>
        <v>0.33931428571428573</v>
      </c>
    </row>
    <row r="473" spans="1:7">
      <c r="A473" s="1">
        <v>20150713</v>
      </c>
      <c r="B473" s="1">
        <v>9</v>
      </c>
      <c r="C473" s="2">
        <f t="shared" si="36"/>
        <v>2.3752</v>
      </c>
      <c r="D473">
        <f t="shared" si="37"/>
        <v>2.4752000000000001</v>
      </c>
      <c r="E473" s="3">
        <v>11.2</v>
      </c>
      <c r="F473">
        <f t="shared" si="34"/>
        <v>2.3752</v>
      </c>
      <c r="G473">
        <f t="shared" si="35"/>
        <v>0.2639111111111111</v>
      </c>
    </row>
    <row r="474" spans="1:7">
      <c r="A474" s="1">
        <v>20150713</v>
      </c>
      <c r="B474" s="1">
        <v>10</v>
      </c>
      <c r="C474" s="2">
        <f t="shared" si="36"/>
        <v>2.3752</v>
      </c>
      <c r="D474">
        <f t="shared" si="37"/>
        <v>2.4752000000000001</v>
      </c>
      <c r="E474" s="3">
        <v>11.2</v>
      </c>
      <c r="F474">
        <f t="shared" si="34"/>
        <v>2.3752</v>
      </c>
      <c r="G474">
        <f t="shared" si="35"/>
        <v>0.23752000000000001</v>
      </c>
    </row>
    <row r="475" spans="1:7">
      <c r="A475" s="1">
        <v>20150713</v>
      </c>
      <c r="B475" s="1">
        <v>7</v>
      </c>
      <c r="C475" s="2">
        <f t="shared" si="36"/>
        <v>2.3752</v>
      </c>
      <c r="D475">
        <f t="shared" si="37"/>
        <v>2.4752000000000001</v>
      </c>
      <c r="E475" s="3">
        <v>11.2</v>
      </c>
      <c r="F475">
        <f t="shared" si="34"/>
        <v>2.3752</v>
      </c>
      <c r="G475">
        <f t="shared" si="35"/>
        <v>0.33931428571428573</v>
      </c>
    </row>
    <row r="476" spans="1:7">
      <c r="A476" s="1">
        <v>20150713</v>
      </c>
      <c r="B476" s="1">
        <v>10</v>
      </c>
      <c r="C476" s="2">
        <f t="shared" si="36"/>
        <v>2.3752</v>
      </c>
      <c r="D476">
        <f t="shared" si="37"/>
        <v>2.4752000000000001</v>
      </c>
      <c r="E476" s="3">
        <v>11.2</v>
      </c>
      <c r="F476">
        <f t="shared" si="34"/>
        <v>2.3752</v>
      </c>
      <c r="G476">
        <f t="shared" si="35"/>
        <v>0.23752000000000001</v>
      </c>
    </row>
    <row r="477" spans="1:7">
      <c r="A477" s="1">
        <v>20150713</v>
      </c>
      <c r="B477" s="1">
        <v>39</v>
      </c>
      <c r="C477" s="2">
        <f t="shared" si="36"/>
        <v>1.4028</v>
      </c>
      <c r="D477">
        <f t="shared" si="37"/>
        <v>1.5028000000000001</v>
      </c>
      <c r="E477" s="3">
        <v>6.8</v>
      </c>
      <c r="F477">
        <f t="shared" si="34"/>
        <v>1.4028</v>
      </c>
      <c r="G477">
        <f t="shared" si="35"/>
        <v>3.5969230769230767E-2</v>
      </c>
    </row>
    <row r="478" spans="1:7">
      <c r="A478" s="1">
        <v>20150713</v>
      </c>
      <c r="B478" s="1">
        <v>15</v>
      </c>
      <c r="C478" s="2">
        <f t="shared" si="36"/>
        <v>1.4028</v>
      </c>
      <c r="D478">
        <f t="shared" si="37"/>
        <v>1.5028000000000001</v>
      </c>
      <c r="E478" s="3">
        <v>6.8</v>
      </c>
      <c r="F478">
        <f t="shared" si="34"/>
        <v>1.4028</v>
      </c>
      <c r="G478">
        <f t="shared" si="35"/>
        <v>9.3520000000000006E-2</v>
      </c>
    </row>
    <row r="479" spans="1:7">
      <c r="A479" s="1">
        <v>20150713</v>
      </c>
      <c r="B479" s="1">
        <v>14</v>
      </c>
      <c r="C479" s="2">
        <f t="shared" si="36"/>
        <v>1.4028</v>
      </c>
      <c r="D479">
        <f t="shared" si="37"/>
        <v>1.5028000000000001</v>
      </c>
      <c r="E479" s="3">
        <v>6.8</v>
      </c>
      <c r="F479">
        <f t="shared" si="34"/>
        <v>1.4028</v>
      </c>
      <c r="G479">
        <f t="shared" si="35"/>
        <v>0.1002</v>
      </c>
    </row>
    <row r="480" spans="1:7">
      <c r="A480" s="1">
        <v>20150713</v>
      </c>
      <c r="B480" s="1">
        <v>25</v>
      </c>
      <c r="C480" s="2">
        <f t="shared" si="36"/>
        <v>1.4028</v>
      </c>
      <c r="D480">
        <f t="shared" si="37"/>
        <v>1.5028000000000001</v>
      </c>
      <c r="E480" s="3">
        <v>6.8</v>
      </c>
      <c r="F480">
        <f t="shared" si="34"/>
        <v>1.4028</v>
      </c>
      <c r="G480">
        <f t="shared" si="35"/>
        <v>5.6112000000000002E-2</v>
      </c>
    </row>
    <row r="481" spans="1:7">
      <c r="A481" s="1">
        <v>20150713</v>
      </c>
      <c r="B481" s="1">
        <v>27</v>
      </c>
      <c r="C481" s="2">
        <f t="shared" si="36"/>
        <v>1.4028</v>
      </c>
      <c r="D481">
        <f t="shared" si="37"/>
        <v>1.5028000000000001</v>
      </c>
      <c r="E481" s="3">
        <v>6.8</v>
      </c>
      <c r="F481">
        <f t="shared" si="34"/>
        <v>1.4028</v>
      </c>
      <c r="G481">
        <f t="shared" si="35"/>
        <v>5.195555555555556E-2</v>
      </c>
    </row>
    <row r="482" spans="1:7">
      <c r="A482" s="1">
        <v>20150713</v>
      </c>
      <c r="B482" s="1">
        <v>45</v>
      </c>
      <c r="C482" s="2">
        <f t="shared" si="36"/>
        <v>1.6901000000000002</v>
      </c>
      <c r="D482">
        <f t="shared" si="37"/>
        <v>1.7901000000000002</v>
      </c>
      <c r="E482" s="3">
        <v>8.1</v>
      </c>
      <c r="F482">
        <f t="shared" si="34"/>
        <v>1.6901000000000002</v>
      </c>
      <c r="G482">
        <f t="shared" si="35"/>
        <v>3.755777777777778E-2</v>
      </c>
    </row>
    <row r="483" spans="1:7">
      <c r="A483" s="1">
        <v>20150713</v>
      </c>
      <c r="B483" s="1">
        <v>21</v>
      </c>
      <c r="C483" s="2">
        <f t="shared" si="36"/>
        <v>1.6901000000000002</v>
      </c>
      <c r="D483">
        <f t="shared" si="37"/>
        <v>1.7901000000000002</v>
      </c>
      <c r="E483" s="3">
        <v>8.1</v>
      </c>
      <c r="F483">
        <f t="shared" si="34"/>
        <v>1.6901000000000002</v>
      </c>
      <c r="G483">
        <f t="shared" si="35"/>
        <v>8.0480952380952389E-2</v>
      </c>
    </row>
    <row r="484" spans="1:7">
      <c r="A484" s="1">
        <v>20150713</v>
      </c>
      <c r="B484" s="1">
        <v>25</v>
      </c>
      <c r="C484" s="2">
        <f t="shared" si="36"/>
        <v>1.6901000000000002</v>
      </c>
      <c r="D484">
        <f t="shared" si="37"/>
        <v>1.7901000000000002</v>
      </c>
      <c r="E484" s="3">
        <v>8.1</v>
      </c>
      <c r="F484">
        <f t="shared" si="34"/>
        <v>1.6901000000000002</v>
      </c>
      <c r="G484">
        <f t="shared" si="35"/>
        <v>6.7604000000000011E-2</v>
      </c>
    </row>
    <row r="485" spans="1:7">
      <c r="A485" s="1">
        <v>20150713</v>
      </c>
      <c r="B485" s="1">
        <v>25</v>
      </c>
      <c r="C485" s="2">
        <f t="shared" si="36"/>
        <v>1.6901000000000002</v>
      </c>
      <c r="D485">
        <f t="shared" si="37"/>
        <v>1.7901000000000002</v>
      </c>
      <c r="E485" s="3">
        <v>8.1</v>
      </c>
      <c r="F485">
        <f t="shared" si="34"/>
        <v>1.6901000000000002</v>
      </c>
      <c r="G485">
        <f t="shared" si="35"/>
        <v>6.7604000000000011E-2</v>
      </c>
    </row>
    <row r="486" spans="1:7">
      <c r="A486" s="1">
        <v>20150713</v>
      </c>
      <c r="B486" s="1">
        <v>26</v>
      </c>
      <c r="C486" s="2">
        <f t="shared" si="36"/>
        <v>1.6901000000000002</v>
      </c>
      <c r="D486">
        <f t="shared" si="37"/>
        <v>1.7901000000000002</v>
      </c>
      <c r="E486" s="3">
        <v>8.1</v>
      </c>
      <c r="F486">
        <f t="shared" si="34"/>
        <v>1.6901000000000002</v>
      </c>
      <c r="G486">
        <f t="shared" si="35"/>
        <v>6.5003846153846162E-2</v>
      </c>
    </row>
    <row r="487" spans="1:7">
      <c r="A487" s="1">
        <v>20150713</v>
      </c>
      <c r="B487" s="1">
        <v>14</v>
      </c>
      <c r="C487" s="2">
        <f t="shared" si="36"/>
        <v>2.3973000000000004</v>
      </c>
      <c r="D487">
        <f t="shared" si="37"/>
        <v>2.4973000000000005</v>
      </c>
      <c r="E487" s="3">
        <v>11.3</v>
      </c>
      <c r="F487">
        <f t="shared" si="34"/>
        <v>2.3973000000000004</v>
      </c>
      <c r="G487">
        <f t="shared" si="35"/>
        <v>0.17123571428571432</v>
      </c>
    </row>
    <row r="488" spans="1:7">
      <c r="A488" s="1">
        <v>20150713</v>
      </c>
      <c r="B488" s="1">
        <v>15</v>
      </c>
      <c r="C488" s="2">
        <f t="shared" si="36"/>
        <v>2.3973000000000004</v>
      </c>
      <c r="D488">
        <f t="shared" si="37"/>
        <v>2.4973000000000005</v>
      </c>
      <c r="E488" s="3">
        <v>11.3</v>
      </c>
      <c r="F488">
        <f t="shared" si="34"/>
        <v>2.3973000000000004</v>
      </c>
      <c r="G488">
        <f t="shared" si="35"/>
        <v>0.15982000000000002</v>
      </c>
    </row>
    <row r="489" spans="1:7">
      <c r="A489" s="1">
        <v>20150713</v>
      </c>
      <c r="B489" s="1">
        <v>9</v>
      </c>
      <c r="C489" s="2">
        <f t="shared" si="36"/>
        <v>2.3973000000000004</v>
      </c>
      <c r="D489">
        <f t="shared" si="37"/>
        <v>2.4973000000000005</v>
      </c>
      <c r="E489" s="3">
        <v>11.3</v>
      </c>
      <c r="F489">
        <f t="shared" ref="F489:F552" si="38">C489</f>
        <v>2.3973000000000004</v>
      </c>
      <c r="G489">
        <f t="shared" ref="G489:G552" si="39">F489/B489</f>
        <v>0.2663666666666667</v>
      </c>
    </row>
    <row r="490" spans="1:7">
      <c r="A490" s="1">
        <v>20150713</v>
      </c>
      <c r="B490" s="1">
        <v>11</v>
      </c>
      <c r="C490" s="2">
        <f t="shared" si="36"/>
        <v>2.3973000000000004</v>
      </c>
      <c r="D490">
        <f t="shared" si="37"/>
        <v>2.4973000000000005</v>
      </c>
      <c r="E490" s="3">
        <v>11.3</v>
      </c>
      <c r="F490">
        <f t="shared" si="38"/>
        <v>2.3973000000000004</v>
      </c>
      <c r="G490">
        <f t="shared" si="39"/>
        <v>0.21793636363636368</v>
      </c>
    </row>
    <row r="491" spans="1:7">
      <c r="A491" s="1">
        <v>20150713</v>
      </c>
      <c r="B491" s="1">
        <v>19</v>
      </c>
      <c r="C491" s="2">
        <f t="shared" ref="C491:C496" si="40">D491-$S$15</f>
        <v>2.3973000000000004</v>
      </c>
      <c r="D491">
        <f t="shared" si="37"/>
        <v>2.4973000000000005</v>
      </c>
      <c r="E491" s="3">
        <v>11.3</v>
      </c>
      <c r="F491">
        <f t="shared" si="38"/>
        <v>2.3973000000000004</v>
      </c>
      <c r="G491">
        <f t="shared" si="39"/>
        <v>0.12617368421052633</v>
      </c>
    </row>
    <row r="492" spans="1:7">
      <c r="A492" s="1">
        <v>20150713</v>
      </c>
      <c r="B492" s="1">
        <v>10</v>
      </c>
      <c r="C492" s="2">
        <f t="shared" si="40"/>
        <v>2.3752</v>
      </c>
      <c r="D492">
        <f t="shared" si="37"/>
        <v>2.4752000000000001</v>
      </c>
      <c r="E492" s="3">
        <v>11.2</v>
      </c>
      <c r="F492">
        <f t="shared" si="38"/>
        <v>2.3752</v>
      </c>
      <c r="G492">
        <f t="shared" si="39"/>
        <v>0.23752000000000001</v>
      </c>
    </row>
    <row r="493" spans="1:7">
      <c r="A493" s="1">
        <v>20150713</v>
      </c>
      <c r="B493" s="1">
        <v>19</v>
      </c>
      <c r="C493" s="2">
        <f t="shared" si="40"/>
        <v>2.3752</v>
      </c>
      <c r="D493">
        <f t="shared" si="37"/>
        <v>2.4752000000000001</v>
      </c>
      <c r="E493" s="3">
        <v>11.2</v>
      </c>
      <c r="F493">
        <f t="shared" si="38"/>
        <v>2.3752</v>
      </c>
      <c r="G493">
        <f t="shared" si="39"/>
        <v>0.12501052631578946</v>
      </c>
    </row>
    <row r="494" spans="1:7">
      <c r="A494" s="1">
        <v>20150713</v>
      </c>
      <c r="B494" s="1">
        <v>15</v>
      </c>
      <c r="C494" s="2">
        <f t="shared" si="40"/>
        <v>2.3752</v>
      </c>
      <c r="D494">
        <f t="shared" si="37"/>
        <v>2.4752000000000001</v>
      </c>
      <c r="E494" s="3">
        <v>11.2</v>
      </c>
      <c r="F494">
        <f t="shared" si="38"/>
        <v>2.3752</v>
      </c>
      <c r="G494">
        <f t="shared" si="39"/>
        <v>0.15834666666666666</v>
      </c>
    </row>
    <row r="495" spans="1:7">
      <c r="A495" s="1">
        <v>20150713</v>
      </c>
      <c r="B495" s="1">
        <v>10</v>
      </c>
      <c r="C495" s="2">
        <f t="shared" si="40"/>
        <v>2.3752</v>
      </c>
      <c r="D495">
        <f t="shared" si="37"/>
        <v>2.4752000000000001</v>
      </c>
      <c r="E495" s="3">
        <v>11.2</v>
      </c>
      <c r="F495">
        <f t="shared" si="38"/>
        <v>2.3752</v>
      </c>
      <c r="G495">
        <f t="shared" si="39"/>
        <v>0.23752000000000001</v>
      </c>
    </row>
    <row r="496" spans="1:7">
      <c r="A496" s="1">
        <v>20150713</v>
      </c>
      <c r="B496" s="1">
        <v>17</v>
      </c>
      <c r="C496" s="2">
        <f t="shared" si="40"/>
        <v>2.3752</v>
      </c>
      <c r="D496">
        <f t="shared" si="37"/>
        <v>2.4752000000000001</v>
      </c>
      <c r="E496" s="3">
        <v>11.2</v>
      </c>
      <c r="F496">
        <f t="shared" si="38"/>
        <v>2.3752</v>
      </c>
      <c r="G496">
        <f t="shared" si="39"/>
        <v>0.13971764705882353</v>
      </c>
    </row>
    <row r="497" spans="1:7">
      <c r="A497" s="1">
        <v>20150605</v>
      </c>
      <c r="B497" s="1">
        <v>20</v>
      </c>
      <c r="C497" s="2">
        <f>D497-$S$40</f>
        <v>2.3800000000000003</v>
      </c>
      <c r="D497">
        <f>0.17*($H$3/12)*E497</f>
        <v>2.3800000000000003</v>
      </c>
      <c r="E497" s="3">
        <v>10.5</v>
      </c>
      <c r="F497">
        <f t="shared" si="38"/>
        <v>2.3800000000000003</v>
      </c>
      <c r="G497">
        <f t="shared" si="39"/>
        <v>0.11900000000000002</v>
      </c>
    </row>
    <row r="498" spans="1:7">
      <c r="A498" s="1">
        <v>20150605</v>
      </c>
      <c r="B498" s="1">
        <v>16</v>
      </c>
      <c r="C498" s="2">
        <f t="shared" ref="C498:C561" si="41">D498-$S$40</f>
        <v>2.3800000000000003</v>
      </c>
      <c r="D498">
        <f t="shared" ref="D498:D561" si="42">0.17*($H$3/12)*E498</f>
        <v>2.3800000000000003</v>
      </c>
      <c r="E498" s="3">
        <v>10.5</v>
      </c>
      <c r="F498">
        <f t="shared" si="38"/>
        <v>2.3800000000000003</v>
      </c>
      <c r="G498">
        <f t="shared" si="39"/>
        <v>0.14875000000000002</v>
      </c>
    </row>
    <row r="499" spans="1:7">
      <c r="A499" s="1">
        <v>20150605</v>
      </c>
      <c r="B499" s="1">
        <v>13</v>
      </c>
      <c r="C499" s="2">
        <f t="shared" si="41"/>
        <v>2.3800000000000003</v>
      </c>
      <c r="D499">
        <f t="shared" si="42"/>
        <v>2.3800000000000003</v>
      </c>
      <c r="E499" s="3">
        <v>10.5</v>
      </c>
      <c r="F499">
        <f t="shared" si="38"/>
        <v>2.3800000000000003</v>
      </c>
      <c r="G499">
        <f t="shared" si="39"/>
        <v>0.18307692307692311</v>
      </c>
    </row>
    <row r="500" spans="1:7">
      <c r="A500" s="1">
        <v>20150605</v>
      </c>
      <c r="B500" s="1">
        <v>14</v>
      </c>
      <c r="C500" s="2">
        <f t="shared" si="41"/>
        <v>2.3800000000000003</v>
      </c>
      <c r="D500">
        <f t="shared" si="42"/>
        <v>2.3800000000000003</v>
      </c>
      <c r="E500" s="3">
        <v>10.5</v>
      </c>
      <c r="F500">
        <f t="shared" si="38"/>
        <v>2.3800000000000003</v>
      </c>
      <c r="G500">
        <f t="shared" si="39"/>
        <v>0.17</v>
      </c>
    </row>
    <row r="501" spans="1:7">
      <c r="A501" s="1">
        <v>20150605</v>
      </c>
      <c r="B501" s="1">
        <v>16</v>
      </c>
      <c r="C501" s="2">
        <f t="shared" si="41"/>
        <v>2.3800000000000003</v>
      </c>
      <c r="D501">
        <f t="shared" si="42"/>
        <v>2.3800000000000003</v>
      </c>
      <c r="E501" s="3">
        <v>10.5</v>
      </c>
      <c r="F501">
        <f t="shared" si="38"/>
        <v>2.3800000000000003</v>
      </c>
      <c r="G501">
        <f t="shared" si="39"/>
        <v>0.14875000000000002</v>
      </c>
    </row>
    <row r="502" spans="1:7">
      <c r="A502" s="1">
        <v>20150605</v>
      </c>
      <c r="B502" s="1">
        <v>10</v>
      </c>
      <c r="C502" s="2">
        <f t="shared" si="41"/>
        <v>2.1986666666666665</v>
      </c>
      <c r="D502">
        <f t="shared" si="42"/>
        <v>2.1986666666666665</v>
      </c>
      <c r="E502" s="3">
        <v>9.6999999999999993</v>
      </c>
      <c r="F502">
        <f t="shared" si="38"/>
        <v>2.1986666666666665</v>
      </c>
      <c r="G502">
        <f t="shared" si="39"/>
        <v>0.21986666666666665</v>
      </c>
    </row>
    <row r="503" spans="1:7">
      <c r="A503" s="1">
        <v>20150605</v>
      </c>
      <c r="B503" s="1">
        <v>5</v>
      </c>
      <c r="C503" s="2">
        <f t="shared" si="41"/>
        <v>2.1986666666666665</v>
      </c>
      <c r="D503">
        <f t="shared" si="42"/>
        <v>2.1986666666666665</v>
      </c>
      <c r="E503" s="3">
        <v>9.6999999999999993</v>
      </c>
      <c r="F503">
        <f t="shared" si="38"/>
        <v>2.1986666666666665</v>
      </c>
      <c r="G503">
        <f t="shared" si="39"/>
        <v>0.43973333333333331</v>
      </c>
    </row>
    <row r="504" spans="1:7">
      <c r="A504" s="1">
        <v>20150605</v>
      </c>
      <c r="B504" s="1">
        <v>1</v>
      </c>
      <c r="C504" s="2">
        <f t="shared" si="41"/>
        <v>2.1986666666666665</v>
      </c>
      <c r="D504">
        <f t="shared" si="42"/>
        <v>2.1986666666666665</v>
      </c>
      <c r="E504" s="3">
        <v>9.6999999999999993</v>
      </c>
      <c r="F504">
        <f t="shared" si="38"/>
        <v>2.1986666666666665</v>
      </c>
      <c r="G504">
        <f t="shared" si="39"/>
        <v>2.1986666666666665</v>
      </c>
    </row>
    <row r="505" spans="1:7">
      <c r="A505" s="1">
        <v>20150605</v>
      </c>
      <c r="B505" s="1">
        <v>0.01</v>
      </c>
      <c r="C505" s="2">
        <f t="shared" si="41"/>
        <v>2.1986666666666665</v>
      </c>
      <c r="D505">
        <f t="shared" si="42"/>
        <v>2.1986666666666665</v>
      </c>
      <c r="E505" s="3">
        <v>9.6999999999999993</v>
      </c>
      <c r="F505">
        <f t="shared" si="38"/>
        <v>2.1986666666666665</v>
      </c>
      <c r="G505">
        <f t="shared" si="39"/>
        <v>219.86666666666665</v>
      </c>
    </row>
    <row r="506" spans="1:7">
      <c r="A506" s="1">
        <v>20150605</v>
      </c>
      <c r="B506" s="1">
        <v>3</v>
      </c>
      <c r="C506" s="2">
        <f t="shared" si="41"/>
        <v>2.1986666666666665</v>
      </c>
      <c r="D506">
        <f t="shared" si="42"/>
        <v>2.1986666666666665</v>
      </c>
      <c r="E506" s="3">
        <v>9.6999999999999993</v>
      </c>
      <c r="F506">
        <f t="shared" si="38"/>
        <v>2.1986666666666665</v>
      </c>
      <c r="G506">
        <f t="shared" si="39"/>
        <v>0.73288888888888881</v>
      </c>
    </row>
    <row r="507" spans="1:7">
      <c r="A507" s="1">
        <v>20150605</v>
      </c>
      <c r="B507" s="1">
        <v>14</v>
      </c>
      <c r="C507" s="2">
        <f t="shared" si="41"/>
        <v>2.5613333333333337</v>
      </c>
      <c r="D507">
        <f t="shared" si="42"/>
        <v>2.5613333333333337</v>
      </c>
      <c r="E507" s="3">
        <v>11.3</v>
      </c>
      <c r="F507">
        <f t="shared" si="38"/>
        <v>2.5613333333333337</v>
      </c>
      <c r="G507">
        <f t="shared" si="39"/>
        <v>0.18295238095238098</v>
      </c>
    </row>
    <row r="508" spans="1:7">
      <c r="A508" s="1">
        <v>20150605</v>
      </c>
      <c r="B508" s="1">
        <v>13</v>
      </c>
      <c r="C508" s="2">
        <f t="shared" si="41"/>
        <v>2.5613333333333337</v>
      </c>
      <c r="D508">
        <f t="shared" si="42"/>
        <v>2.5613333333333337</v>
      </c>
      <c r="E508" s="3">
        <v>11.3</v>
      </c>
      <c r="F508">
        <f t="shared" si="38"/>
        <v>2.5613333333333337</v>
      </c>
      <c r="G508">
        <f t="shared" si="39"/>
        <v>0.19702564102564105</v>
      </c>
    </row>
    <row r="509" spans="1:7">
      <c r="A509" s="1">
        <v>20150605</v>
      </c>
      <c r="B509" s="1">
        <v>23</v>
      </c>
      <c r="C509" s="2">
        <f t="shared" si="41"/>
        <v>2.5613333333333337</v>
      </c>
      <c r="D509">
        <f t="shared" si="42"/>
        <v>2.5613333333333337</v>
      </c>
      <c r="E509" s="3">
        <v>11.3</v>
      </c>
      <c r="F509">
        <f t="shared" si="38"/>
        <v>2.5613333333333337</v>
      </c>
      <c r="G509">
        <f t="shared" si="39"/>
        <v>0.11136231884057972</v>
      </c>
    </row>
    <row r="510" spans="1:7">
      <c r="A510" s="1">
        <v>20150605</v>
      </c>
      <c r="B510" s="1">
        <v>22</v>
      </c>
      <c r="C510" s="2">
        <f t="shared" si="41"/>
        <v>2.5613333333333337</v>
      </c>
      <c r="D510">
        <f t="shared" si="42"/>
        <v>2.5613333333333337</v>
      </c>
      <c r="E510" s="3">
        <v>11.3</v>
      </c>
      <c r="F510">
        <f t="shared" si="38"/>
        <v>2.5613333333333337</v>
      </c>
      <c r="G510">
        <f t="shared" si="39"/>
        <v>0.11642424242424244</v>
      </c>
    </row>
    <row r="511" spans="1:7">
      <c r="A511" s="1">
        <v>20150605</v>
      </c>
      <c r="B511" s="1">
        <v>20</v>
      </c>
      <c r="C511" s="2">
        <f t="shared" si="41"/>
        <v>2.5613333333333337</v>
      </c>
      <c r="D511">
        <f t="shared" si="42"/>
        <v>2.5613333333333337</v>
      </c>
      <c r="E511" s="3">
        <v>11.3</v>
      </c>
      <c r="F511">
        <f t="shared" si="38"/>
        <v>2.5613333333333337</v>
      </c>
      <c r="G511">
        <f t="shared" si="39"/>
        <v>0.12806666666666669</v>
      </c>
    </row>
    <row r="512" spans="1:7">
      <c r="A512" s="1">
        <v>20150605</v>
      </c>
      <c r="B512" s="1">
        <v>17</v>
      </c>
      <c r="C512" s="2">
        <f t="shared" si="41"/>
        <v>2.516</v>
      </c>
      <c r="D512">
        <f t="shared" si="42"/>
        <v>2.516</v>
      </c>
      <c r="E512" s="3">
        <v>11.1</v>
      </c>
      <c r="F512">
        <f t="shared" si="38"/>
        <v>2.516</v>
      </c>
      <c r="G512">
        <f t="shared" si="39"/>
        <v>0.14799999999999999</v>
      </c>
    </row>
    <row r="513" spans="1:7">
      <c r="A513" s="1">
        <v>20150605</v>
      </c>
      <c r="B513" s="1">
        <v>24</v>
      </c>
      <c r="C513" s="2">
        <f t="shared" si="41"/>
        <v>2.516</v>
      </c>
      <c r="D513">
        <f t="shared" si="42"/>
        <v>2.516</v>
      </c>
      <c r="E513" s="3">
        <v>11.1</v>
      </c>
      <c r="F513">
        <f t="shared" si="38"/>
        <v>2.516</v>
      </c>
      <c r="G513">
        <f t="shared" si="39"/>
        <v>0.10483333333333333</v>
      </c>
    </row>
    <row r="514" spans="1:7">
      <c r="A514" s="1">
        <v>20150605</v>
      </c>
      <c r="B514" s="1">
        <v>26</v>
      </c>
      <c r="C514" s="2">
        <f t="shared" si="41"/>
        <v>2.516</v>
      </c>
      <c r="D514">
        <f t="shared" si="42"/>
        <v>2.516</v>
      </c>
      <c r="E514" s="3">
        <v>11.1</v>
      </c>
      <c r="F514">
        <f t="shared" si="38"/>
        <v>2.516</v>
      </c>
      <c r="G514">
        <f t="shared" si="39"/>
        <v>9.6769230769230774E-2</v>
      </c>
    </row>
    <row r="515" spans="1:7">
      <c r="A515" s="1">
        <v>20150605</v>
      </c>
      <c r="B515" s="1">
        <v>14</v>
      </c>
      <c r="C515" s="2">
        <f t="shared" si="41"/>
        <v>2.516</v>
      </c>
      <c r="D515">
        <f t="shared" si="42"/>
        <v>2.516</v>
      </c>
      <c r="E515" s="3">
        <v>11.1</v>
      </c>
      <c r="F515">
        <f t="shared" si="38"/>
        <v>2.516</v>
      </c>
      <c r="G515">
        <f t="shared" si="39"/>
        <v>0.17971428571428572</v>
      </c>
    </row>
    <row r="516" spans="1:7">
      <c r="A516" s="1">
        <v>20150605</v>
      </c>
      <c r="B516" s="1">
        <v>19</v>
      </c>
      <c r="C516" s="2">
        <f t="shared" si="41"/>
        <v>2.516</v>
      </c>
      <c r="D516">
        <f t="shared" si="42"/>
        <v>2.516</v>
      </c>
      <c r="E516" s="3">
        <v>11.1</v>
      </c>
      <c r="F516">
        <f t="shared" si="38"/>
        <v>2.516</v>
      </c>
      <c r="G516">
        <f t="shared" si="39"/>
        <v>0.13242105263157894</v>
      </c>
    </row>
    <row r="517" spans="1:7">
      <c r="A517" s="1">
        <v>20150605</v>
      </c>
      <c r="B517" s="1">
        <v>0.01</v>
      </c>
      <c r="C517" s="2">
        <f t="shared" si="41"/>
        <v>1.8360000000000001</v>
      </c>
      <c r="D517">
        <f t="shared" si="42"/>
        <v>1.8360000000000001</v>
      </c>
      <c r="E517" s="3">
        <v>8.1</v>
      </c>
      <c r="F517">
        <f t="shared" si="38"/>
        <v>1.8360000000000001</v>
      </c>
      <c r="G517">
        <f t="shared" si="39"/>
        <v>183.6</v>
      </c>
    </row>
    <row r="518" spans="1:7">
      <c r="A518" s="1">
        <v>20150605</v>
      </c>
      <c r="B518" s="1">
        <v>9</v>
      </c>
      <c r="C518" s="2">
        <f t="shared" si="41"/>
        <v>1.8360000000000001</v>
      </c>
      <c r="D518">
        <f t="shared" si="42"/>
        <v>1.8360000000000001</v>
      </c>
      <c r="E518" s="3">
        <v>8.1</v>
      </c>
      <c r="F518">
        <f t="shared" si="38"/>
        <v>1.8360000000000001</v>
      </c>
      <c r="G518">
        <f t="shared" si="39"/>
        <v>0.20400000000000001</v>
      </c>
    </row>
    <row r="519" spans="1:7">
      <c r="A519" s="1">
        <v>20150605</v>
      </c>
      <c r="B519" s="1">
        <v>4</v>
      </c>
      <c r="C519" s="2">
        <f t="shared" si="41"/>
        <v>1.8360000000000001</v>
      </c>
      <c r="D519">
        <f t="shared" si="42"/>
        <v>1.8360000000000001</v>
      </c>
      <c r="E519" s="3">
        <v>8.1</v>
      </c>
      <c r="F519">
        <f t="shared" si="38"/>
        <v>1.8360000000000001</v>
      </c>
      <c r="G519">
        <f t="shared" si="39"/>
        <v>0.45900000000000002</v>
      </c>
    </row>
    <row r="520" spans="1:7">
      <c r="A520" s="1">
        <v>20150605</v>
      </c>
      <c r="B520" s="1">
        <v>7</v>
      </c>
      <c r="C520" s="2">
        <f t="shared" si="41"/>
        <v>1.8360000000000001</v>
      </c>
      <c r="D520">
        <f t="shared" si="42"/>
        <v>1.8360000000000001</v>
      </c>
      <c r="E520" s="3">
        <v>8.1</v>
      </c>
      <c r="F520">
        <f t="shared" si="38"/>
        <v>1.8360000000000001</v>
      </c>
      <c r="G520">
        <f t="shared" si="39"/>
        <v>0.26228571428571429</v>
      </c>
    </row>
    <row r="521" spans="1:7">
      <c r="A521" s="1">
        <v>20150605</v>
      </c>
      <c r="B521" s="1">
        <v>0.01</v>
      </c>
      <c r="C521" s="2">
        <f t="shared" si="41"/>
        <v>1.8360000000000001</v>
      </c>
      <c r="D521">
        <f t="shared" si="42"/>
        <v>1.8360000000000001</v>
      </c>
      <c r="E521" s="3">
        <v>8.1</v>
      </c>
      <c r="F521">
        <f t="shared" si="38"/>
        <v>1.8360000000000001</v>
      </c>
      <c r="G521">
        <f t="shared" si="39"/>
        <v>183.6</v>
      </c>
    </row>
    <row r="522" spans="1:7">
      <c r="A522" s="1">
        <v>20150605</v>
      </c>
      <c r="B522" s="1">
        <v>25</v>
      </c>
      <c r="C522" s="2">
        <f t="shared" si="41"/>
        <v>1.9493333333333334</v>
      </c>
      <c r="D522">
        <f t="shared" si="42"/>
        <v>1.9493333333333334</v>
      </c>
      <c r="E522" s="3">
        <v>8.6</v>
      </c>
      <c r="F522">
        <f t="shared" si="38"/>
        <v>1.9493333333333334</v>
      </c>
      <c r="G522">
        <f t="shared" si="39"/>
        <v>7.7973333333333339E-2</v>
      </c>
    </row>
    <row r="523" spans="1:7">
      <c r="A523" s="1">
        <v>20150605</v>
      </c>
      <c r="B523" s="1">
        <v>13</v>
      </c>
      <c r="C523" s="2">
        <f t="shared" si="41"/>
        <v>1.9493333333333334</v>
      </c>
      <c r="D523">
        <f t="shared" si="42"/>
        <v>1.9493333333333334</v>
      </c>
      <c r="E523" s="3">
        <v>8.6</v>
      </c>
      <c r="F523">
        <f t="shared" si="38"/>
        <v>1.9493333333333334</v>
      </c>
      <c r="G523">
        <f t="shared" si="39"/>
        <v>0.14994871794871795</v>
      </c>
    </row>
    <row r="524" spans="1:7">
      <c r="A524" s="1">
        <v>20150605</v>
      </c>
      <c r="B524" s="1">
        <v>11</v>
      </c>
      <c r="C524" s="2">
        <f t="shared" si="41"/>
        <v>1.9493333333333334</v>
      </c>
      <c r="D524">
        <f t="shared" si="42"/>
        <v>1.9493333333333334</v>
      </c>
      <c r="E524" s="3">
        <v>8.6</v>
      </c>
      <c r="F524">
        <f t="shared" si="38"/>
        <v>1.9493333333333334</v>
      </c>
      <c r="G524">
        <f t="shared" si="39"/>
        <v>0.17721212121212121</v>
      </c>
    </row>
    <row r="525" spans="1:7">
      <c r="A525" s="1">
        <v>20150605</v>
      </c>
      <c r="B525" s="1">
        <v>23</v>
      </c>
      <c r="C525" s="2">
        <f t="shared" si="41"/>
        <v>1.9493333333333334</v>
      </c>
      <c r="D525">
        <f t="shared" si="42"/>
        <v>1.9493333333333334</v>
      </c>
      <c r="E525" s="3">
        <v>8.6</v>
      </c>
      <c r="F525">
        <f t="shared" si="38"/>
        <v>1.9493333333333334</v>
      </c>
      <c r="G525">
        <f t="shared" si="39"/>
        <v>8.4753623188405805E-2</v>
      </c>
    </row>
    <row r="526" spans="1:7">
      <c r="A526" s="1">
        <v>20150605</v>
      </c>
      <c r="B526" s="1">
        <v>9</v>
      </c>
      <c r="C526" s="2">
        <f t="shared" si="41"/>
        <v>1.9493333333333334</v>
      </c>
      <c r="D526">
        <f t="shared" si="42"/>
        <v>1.9493333333333334</v>
      </c>
      <c r="E526" s="3">
        <v>8.6</v>
      </c>
      <c r="F526">
        <f t="shared" si="38"/>
        <v>1.9493333333333334</v>
      </c>
      <c r="G526">
        <f t="shared" si="39"/>
        <v>0.21659259259259259</v>
      </c>
    </row>
    <row r="527" spans="1:7">
      <c r="A527" s="1">
        <v>20150605</v>
      </c>
      <c r="B527" s="1">
        <v>20</v>
      </c>
      <c r="C527" s="2">
        <f t="shared" si="41"/>
        <v>2.3800000000000003</v>
      </c>
      <c r="D527">
        <f t="shared" si="42"/>
        <v>2.3800000000000003</v>
      </c>
      <c r="E527" s="3">
        <v>10.5</v>
      </c>
      <c r="F527">
        <f t="shared" si="38"/>
        <v>2.3800000000000003</v>
      </c>
      <c r="G527">
        <f t="shared" si="39"/>
        <v>0.11900000000000002</v>
      </c>
    </row>
    <row r="528" spans="1:7">
      <c r="A528" s="1">
        <v>20150605</v>
      </c>
      <c r="B528" s="1">
        <v>22</v>
      </c>
      <c r="C528" s="2">
        <f t="shared" si="41"/>
        <v>2.3800000000000003</v>
      </c>
      <c r="D528">
        <f t="shared" si="42"/>
        <v>2.3800000000000003</v>
      </c>
      <c r="E528" s="3">
        <v>10.5</v>
      </c>
      <c r="F528">
        <f t="shared" si="38"/>
        <v>2.3800000000000003</v>
      </c>
      <c r="G528">
        <f t="shared" si="39"/>
        <v>0.1081818181818182</v>
      </c>
    </row>
    <row r="529" spans="1:7">
      <c r="A529" s="1">
        <v>20150605</v>
      </c>
      <c r="B529" s="1">
        <v>25</v>
      </c>
      <c r="C529" s="2">
        <f t="shared" si="41"/>
        <v>2.3800000000000003</v>
      </c>
      <c r="D529">
        <f t="shared" si="42"/>
        <v>2.3800000000000003</v>
      </c>
      <c r="E529" s="3">
        <v>10.5</v>
      </c>
      <c r="F529">
        <f t="shared" si="38"/>
        <v>2.3800000000000003</v>
      </c>
      <c r="G529">
        <f t="shared" si="39"/>
        <v>9.5200000000000007E-2</v>
      </c>
    </row>
    <row r="530" spans="1:7">
      <c r="A530" s="1">
        <v>20150605</v>
      </c>
      <c r="B530" s="1">
        <v>22</v>
      </c>
      <c r="C530" s="2">
        <f t="shared" si="41"/>
        <v>2.3800000000000003</v>
      </c>
      <c r="D530">
        <f t="shared" si="42"/>
        <v>2.3800000000000003</v>
      </c>
      <c r="E530" s="3">
        <v>10.5</v>
      </c>
      <c r="F530">
        <f t="shared" si="38"/>
        <v>2.3800000000000003</v>
      </c>
      <c r="G530">
        <f t="shared" si="39"/>
        <v>0.1081818181818182</v>
      </c>
    </row>
    <row r="531" spans="1:7">
      <c r="A531" s="1">
        <v>20150605</v>
      </c>
      <c r="B531" s="1">
        <v>13</v>
      </c>
      <c r="C531" s="2">
        <f t="shared" si="41"/>
        <v>2.3800000000000003</v>
      </c>
      <c r="D531">
        <f t="shared" si="42"/>
        <v>2.3800000000000003</v>
      </c>
      <c r="E531" s="3">
        <v>10.5</v>
      </c>
      <c r="F531">
        <f t="shared" si="38"/>
        <v>2.3800000000000003</v>
      </c>
      <c r="G531">
        <f t="shared" si="39"/>
        <v>0.18307692307692311</v>
      </c>
    </row>
    <row r="532" spans="1:7">
      <c r="A532" s="1">
        <v>20150605</v>
      </c>
      <c r="B532" s="1">
        <v>9</v>
      </c>
      <c r="C532" s="2">
        <f t="shared" si="41"/>
        <v>2.1986666666666665</v>
      </c>
      <c r="D532">
        <f t="shared" si="42"/>
        <v>2.1986666666666665</v>
      </c>
      <c r="E532" s="3">
        <v>9.6999999999999993</v>
      </c>
      <c r="F532">
        <f t="shared" si="38"/>
        <v>2.1986666666666665</v>
      </c>
      <c r="G532">
        <f t="shared" si="39"/>
        <v>0.24429629629629629</v>
      </c>
    </row>
    <row r="533" spans="1:7">
      <c r="A533" s="1">
        <v>20150605</v>
      </c>
      <c r="B533" s="1">
        <v>6</v>
      </c>
      <c r="C533" s="2">
        <f t="shared" si="41"/>
        <v>2.1986666666666665</v>
      </c>
      <c r="D533">
        <f t="shared" si="42"/>
        <v>2.1986666666666665</v>
      </c>
      <c r="E533" s="3">
        <v>9.6999999999999993</v>
      </c>
      <c r="F533">
        <f t="shared" si="38"/>
        <v>2.1986666666666665</v>
      </c>
      <c r="G533">
        <f t="shared" si="39"/>
        <v>0.36644444444444441</v>
      </c>
    </row>
    <row r="534" spans="1:7">
      <c r="A534" s="1">
        <v>20150605</v>
      </c>
      <c r="B534" s="1">
        <v>11</v>
      </c>
      <c r="C534" s="2">
        <f t="shared" si="41"/>
        <v>2.1986666666666665</v>
      </c>
      <c r="D534">
        <f t="shared" si="42"/>
        <v>2.1986666666666665</v>
      </c>
      <c r="E534" s="3">
        <v>9.6999999999999993</v>
      </c>
      <c r="F534">
        <f t="shared" si="38"/>
        <v>2.1986666666666665</v>
      </c>
      <c r="G534">
        <f t="shared" si="39"/>
        <v>0.19987878787878788</v>
      </c>
    </row>
    <row r="535" spans="1:7">
      <c r="A535" s="1">
        <v>20150605</v>
      </c>
      <c r="B535" s="1">
        <v>10</v>
      </c>
      <c r="C535" s="2">
        <f t="shared" si="41"/>
        <v>2.1986666666666665</v>
      </c>
      <c r="D535">
        <f t="shared" si="42"/>
        <v>2.1986666666666665</v>
      </c>
      <c r="E535" s="3">
        <v>9.6999999999999993</v>
      </c>
      <c r="F535">
        <f t="shared" si="38"/>
        <v>2.1986666666666665</v>
      </c>
      <c r="G535">
        <f t="shared" si="39"/>
        <v>0.21986666666666665</v>
      </c>
    </row>
    <row r="536" spans="1:7">
      <c r="A536" s="1">
        <v>20150605</v>
      </c>
      <c r="B536" s="1">
        <v>13</v>
      </c>
      <c r="C536" s="2">
        <f t="shared" si="41"/>
        <v>2.1986666666666665</v>
      </c>
      <c r="D536">
        <f t="shared" si="42"/>
        <v>2.1986666666666665</v>
      </c>
      <c r="E536" s="3">
        <v>9.6999999999999993</v>
      </c>
      <c r="F536">
        <f t="shared" si="38"/>
        <v>2.1986666666666665</v>
      </c>
      <c r="G536">
        <f t="shared" si="39"/>
        <v>0.16912820512820512</v>
      </c>
    </row>
    <row r="537" spans="1:7">
      <c r="A537" s="1">
        <v>20150605</v>
      </c>
      <c r="B537" s="1">
        <v>23</v>
      </c>
      <c r="C537" s="2">
        <f t="shared" si="41"/>
        <v>2.5613333333333337</v>
      </c>
      <c r="D537">
        <f t="shared" si="42"/>
        <v>2.5613333333333337</v>
      </c>
      <c r="E537" s="3">
        <v>11.3</v>
      </c>
      <c r="F537">
        <f t="shared" si="38"/>
        <v>2.5613333333333337</v>
      </c>
      <c r="G537">
        <f t="shared" si="39"/>
        <v>0.11136231884057972</v>
      </c>
    </row>
    <row r="538" spans="1:7">
      <c r="A538" s="1">
        <v>20150605</v>
      </c>
      <c r="B538" s="1">
        <v>21</v>
      </c>
      <c r="C538" s="2">
        <f t="shared" si="41"/>
        <v>2.5613333333333337</v>
      </c>
      <c r="D538">
        <f t="shared" si="42"/>
        <v>2.5613333333333337</v>
      </c>
      <c r="E538" s="3">
        <v>11.3</v>
      </c>
      <c r="F538">
        <f t="shared" si="38"/>
        <v>2.5613333333333337</v>
      </c>
      <c r="G538">
        <f t="shared" si="39"/>
        <v>0.12196825396825399</v>
      </c>
    </row>
    <row r="539" spans="1:7">
      <c r="A539" s="1">
        <v>20150605</v>
      </c>
      <c r="B539" s="1">
        <v>27</v>
      </c>
      <c r="C539" s="2">
        <f t="shared" si="41"/>
        <v>2.5613333333333337</v>
      </c>
      <c r="D539">
        <f t="shared" si="42"/>
        <v>2.5613333333333337</v>
      </c>
      <c r="E539" s="3">
        <v>11.3</v>
      </c>
      <c r="F539">
        <f t="shared" si="38"/>
        <v>2.5613333333333337</v>
      </c>
      <c r="G539">
        <f t="shared" si="39"/>
        <v>9.4864197530864211E-2</v>
      </c>
    </row>
    <row r="540" spans="1:7">
      <c r="A540" s="1">
        <v>20150605</v>
      </c>
      <c r="B540" s="1">
        <v>19</v>
      </c>
      <c r="C540" s="2">
        <f t="shared" si="41"/>
        <v>2.5613333333333337</v>
      </c>
      <c r="D540">
        <f t="shared" si="42"/>
        <v>2.5613333333333337</v>
      </c>
      <c r="E540" s="3">
        <v>11.3</v>
      </c>
      <c r="F540">
        <f t="shared" si="38"/>
        <v>2.5613333333333337</v>
      </c>
      <c r="G540">
        <f t="shared" si="39"/>
        <v>0.13480701754385968</v>
      </c>
    </row>
    <row r="541" spans="1:7">
      <c r="A541" s="1">
        <v>20150605</v>
      </c>
      <c r="B541" s="1">
        <v>26</v>
      </c>
      <c r="C541" s="2">
        <f t="shared" si="41"/>
        <v>2.5613333333333337</v>
      </c>
      <c r="D541">
        <f t="shared" si="42"/>
        <v>2.5613333333333337</v>
      </c>
      <c r="E541" s="3">
        <v>11.3</v>
      </c>
      <c r="F541">
        <f t="shared" si="38"/>
        <v>2.5613333333333337</v>
      </c>
      <c r="G541">
        <f t="shared" si="39"/>
        <v>9.8512820512820523E-2</v>
      </c>
    </row>
    <row r="542" spans="1:7">
      <c r="A542" s="1">
        <v>20150605</v>
      </c>
      <c r="B542" s="1">
        <v>31</v>
      </c>
      <c r="C542" s="2">
        <f t="shared" si="41"/>
        <v>2.516</v>
      </c>
      <c r="D542">
        <f t="shared" si="42"/>
        <v>2.516</v>
      </c>
      <c r="E542" s="3">
        <v>11.1</v>
      </c>
      <c r="F542">
        <f t="shared" si="38"/>
        <v>2.516</v>
      </c>
      <c r="G542">
        <f t="shared" si="39"/>
        <v>8.116129032258064E-2</v>
      </c>
    </row>
    <row r="543" spans="1:7">
      <c r="A543" s="1">
        <v>20150605</v>
      </c>
      <c r="B543" s="1">
        <v>30</v>
      </c>
      <c r="C543" s="2">
        <f t="shared" si="41"/>
        <v>2.516</v>
      </c>
      <c r="D543">
        <f t="shared" si="42"/>
        <v>2.516</v>
      </c>
      <c r="E543" s="3">
        <v>11.1</v>
      </c>
      <c r="F543">
        <f t="shared" si="38"/>
        <v>2.516</v>
      </c>
      <c r="G543">
        <f t="shared" si="39"/>
        <v>8.3866666666666673E-2</v>
      </c>
    </row>
    <row r="544" spans="1:7">
      <c r="A544" s="1">
        <v>20150605</v>
      </c>
      <c r="B544" s="1">
        <v>34</v>
      </c>
      <c r="C544" s="2">
        <f t="shared" si="41"/>
        <v>2.516</v>
      </c>
      <c r="D544">
        <f t="shared" si="42"/>
        <v>2.516</v>
      </c>
      <c r="E544" s="3">
        <v>11.1</v>
      </c>
      <c r="F544">
        <f t="shared" si="38"/>
        <v>2.516</v>
      </c>
      <c r="G544">
        <f t="shared" si="39"/>
        <v>7.3999999999999996E-2</v>
      </c>
    </row>
    <row r="545" spans="1:7">
      <c r="A545" s="1">
        <v>20150605</v>
      </c>
      <c r="B545" s="1">
        <v>24</v>
      </c>
      <c r="C545" s="2">
        <f t="shared" si="41"/>
        <v>2.516</v>
      </c>
      <c r="D545">
        <f t="shared" si="42"/>
        <v>2.516</v>
      </c>
      <c r="E545" s="3">
        <v>11.1</v>
      </c>
      <c r="F545">
        <f t="shared" si="38"/>
        <v>2.516</v>
      </c>
      <c r="G545">
        <f t="shared" si="39"/>
        <v>0.10483333333333333</v>
      </c>
    </row>
    <row r="546" spans="1:7">
      <c r="A546" s="1">
        <v>20150605</v>
      </c>
      <c r="B546" s="1">
        <v>28</v>
      </c>
      <c r="C546" s="2">
        <f t="shared" si="41"/>
        <v>2.516</v>
      </c>
      <c r="D546">
        <f t="shared" si="42"/>
        <v>2.516</v>
      </c>
      <c r="E546" s="3">
        <v>11.1</v>
      </c>
      <c r="F546">
        <f t="shared" si="38"/>
        <v>2.516</v>
      </c>
      <c r="G546">
        <f t="shared" si="39"/>
        <v>8.9857142857142858E-2</v>
      </c>
    </row>
    <row r="547" spans="1:7">
      <c r="A547" s="1">
        <v>20150605</v>
      </c>
      <c r="B547" s="1">
        <v>18</v>
      </c>
      <c r="C547" s="2">
        <f t="shared" si="41"/>
        <v>1.8360000000000001</v>
      </c>
      <c r="D547">
        <f t="shared" si="42"/>
        <v>1.8360000000000001</v>
      </c>
      <c r="E547" s="3">
        <v>8.1</v>
      </c>
      <c r="F547">
        <f t="shared" si="38"/>
        <v>1.8360000000000001</v>
      </c>
      <c r="G547">
        <f t="shared" si="39"/>
        <v>0.10200000000000001</v>
      </c>
    </row>
    <row r="548" spans="1:7">
      <c r="A548" s="1">
        <v>20150605</v>
      </c>
      <c r="B548" s="1">
        <v>16</v>
      </c>
      <c r="C548" s="2">
        <f t="shared" si="41"/>
        <v>1.8360000000000001</v>
      </c>
      <c r="D548">
        <f t="shared" si="42"/>
        <v>1.8360000000000001</v>
      </c>
      <c r="E548" s="3">
        <v>8.1</v>
      </c>
      <c r="F548">
        <f t="shared" si="38"/>
        <v>1.8360000000000001</v>
      </c>
      <c r="G548">
        <f t="shared" si="39"/>
        <v>0.11475</v>
      </c>
    </row>
    <row r="549" spans="1:7">
      <c r="A549" s="1">
        <v>20150605</v>
      </c>
      <c r="B549" s="1">
        <v>15</v>
      </c>
      <c r="C549" s="2">
        <f t="shared" si="41"/>
        <v>1.8360000000000001</v>
      </c>
      <c r="D549">
        <f t="shared" si="42"/>
        <v>1.8360000000000001</v>
      </c>
      <c r="E549" s="3">
        <v>8.1</v>
      </c>
      <c r="F549">
        <f t="shared" si="38"/>
        <v>1.8360000000000001</v>
      </c>
      <c r="G549">
        <f t="shared" si="39"/>
        <v>0.12240000000000001</v>
      </c>
    </row>
    <row r="550" spans="1:7">
      <c r="A550" s="1">
        <v>20150605</v>
      </c>
      <c r="B550" s="1">
        <v>26</v>
      </c>
      <c r="C550" s="2">
        <f t="shared" si="41"/>
        <v>1.8360000000000001</v>
      </c>
      <c r="D550">
        <f t="shared" si="42"/>
        <v>1.8360000000000001</v>
      </c>
      <c r="E550" s="3">
        <v>8.1</v>
      </c>
      <c r="F550">
        <f t="shared" si="38"/>
        <v>1.8360000000000001</v>
      </c>
      <c r="G550">
        <f t="shared" si="39"/>
        <v>7.0615384615384622E-2</v>
      </c>
    </row>
    <row r="551" spans="1:7">
      <c r="A551" s="1">
        <v>20150605</v>
      </c>
      <c r="B551" s="1">
        <v>16</v>
      </c>
      <c r="C551" s="2">
        <f t="shared" si="41"/>
        <v>1.8360000000000001</v>
      </c>
      <c r="D551">
        <f t="shared" si="42"/>
        <v>1.8360000000000001</v>
      </c>
      <c r="E551" s="3">
        <v>8.1</v>
      </c>
      <c r="F551">
        <f t="shared" si="38"/>
        <v>1.8360000000000001</v>
      </c>
      <c r="G551">
        <f t="shared" si="39"/>
        <v>0.11475</v>
      </c>
    </row>
    <row r="552" spans="1:7">
      <c r="A552" s="1">
        <v>20150605</v>
      </c>
      <c r="B552" s="1">
        <v>27</v>
      </c>
      <c r="C552" s="2">
        <f t="shared" si="41"/>
        <v>1.9493333333333334</v>
      </c>
      <c r="D552">
        <f t="shared" si="42"/>
        <v>1.9493333333333334</v>
      </c>
      <c r="E552" s="3">
        <v>8.6</v>
      </c>
      <c r="F552">
        <f t="shared" si="38"/>
        <v>1.9493333333333334</v>
      </c>
      <c r="G552">
        <f t="shared" si="39"/>
        <v>7.2197530864197529E-2</v>
      </c>
    </row>
    <row r="553" spans="1:7">
      <c r="A553" s="1">
        <v>20150605</v>
      </c>
      <c r="B553" s="1">
        <v>15</v>
      </c>
      <c r="C553" s="2">
        <f t="shared" si="41"/>
        <v>1.9493333333333334</v>
      </c>
      <c r="D553">
        <f t="shared" si="42"/>
        <v>1.9493333333333334</v>
      </c>
      <c r="E553" s="3">
        <v>8.6</v>
      </c>
      <c r="F553">
        <f t="shared" ref="F553:F616" si="43">C553</f>
        <v>1.9493333333333334</v>
      </c>
      <c r="G553">
        <f t="shared" ref="G553:G616" si="44">F553/B553</f>
        <v>0.12995555555555555</v>
      </c>
    </row>
    <row r="554" spans="1:7">
      <c r="A554" s="1">
        <v>20150605</v>
      </c>
      <c r="B554" s="1">
        <v>32</v>
      </c>
      <c r="C554" s="2">
        <f t="shared" si="41"/>
        <v>1.9493333333333334</v>
      </c>
      <c r="D554">
        <f t="shared" si="42"/>
        <v>1.9493333333333334</v>
      </c>
      <c r="E554" s="3">
        <v>8.6</v>
      </c>
      <c r="F554">
        <f t="shared" si="43"/>
        <v>1.9493333333333334</v>
      </c>
      <c r="G554">
        <f t="shared" si="44"/>
        <v>6.0916666666666668E-2</v>
      </c>
    </row>
    <row r="555" spans="1:7">
      <c r="A555" s="1">
        <v>20150605</v>
      </c>
      <c r="B555" s="1">
        <v>34</v>
      </c>
      <c r="C555" s="2">
        <f t="shared" si="41"/>
        <v>1.9493333333333334</v>
      </c>
      <c r="D555">
        <f t="shared" si="42"/>
        <v>1.9493333333333334</v>
      </c>
      <c r="E555" s="3">
        <v>8.6</v>
      </c>
      <c r="F555">
        <f t="shared" si="43"/>
        <v>1.9493333333333334</v>
      </c>
      <c r="G555">
        <f t="shared" si="44"/>
        <v>5.7333333333333333E-2</v>
      </c>
    </row>
    <row r="556" spans="1:7">
      <c r="A556" s="1">
        <v>20150605</v>
      </c>
      <c r="B556" s="1">
        <v>30</v>
      </c>
      <c r="C556" s="2">
        <f t="shared" si="41"/>
        <v>1.9493333333333334</v>
      </c>
      <c r="D556">
        <f t="shared" si="42"/>
        <v>1.9493333333333334</v>
      </c>
      <c r="E556" s="3">
        <v>8.6</v>
      </c>
      <c r="F556">
        <f t="shared" si="43"/>
        <v>1.9493333333333334</v>
      </c>
      <c r="G556">
        <f t="shared" si="44"/>
        <v>6.4977777777777773E-2</v>
      </c>
    </row>
    <row r="557" spans="1:7">
      <c r="A557" s="1">
        <v>20150605</v>
      </c>
      <c r="B557" s="1">
        <v>12</v>
      </c>
      <c r="C557" s="2">
        <f t="shared" si="41"/>
        <v>2.3800000000000003</v>
      </c>
      <c r="D557">
        <f t="shared" si="42"/>
        <v>2.3800000000000003</v>
      </c>
      <c r="E557" s="3">
        <v>10.5</v>
      </c>
      <c r="F557">
        <f t="shared" si="43"/>
        <v>2.3800000000000003</v>
      </c>
      <c r="G557">
        <f t="shared" si="44"/>
        <v>0.19833333333333336</v>
      </c>
    </row>
    <row r="558" spans="1:7">
      <c r="A558" s="1">
        <v>20150605</v>
      </c>
      <c r="B558" s="1">
        <v>22</v>
      </c>
      <c r="C558" s="2">
        <f t="shared" si="41"/>
        <v>2.3800000000000003</v>
      </c>
      <c r="D558">
        <f t="shared" si="42"/>
        <v>2.3800000000000003</v>
      </c>
      <c r="E558" s="3">
        <v>10.5</v>
      </c>
      <c r="F558">
        <f t="shared" si="43"/>
        <v>2.3800000000000003</v>
      </c>
      <c r="G558">
        <f t="shared" si="44"/>
        <v>0.1081818181818182</v>
      </c>
    </row>
    <row r="559" spans="1:7">
      <c r="A559" s="1">
        <v>20150605</v>
      </c>
      <c r="B559" s="1">
        <v>19</v>
      </c>
      <c r="C559" s="2">
        <f t="shared" si="41"/>
        <v>2.3800000000000003</v>
      </c>
      <c r="D559">
        <f t="shared" si="42"/>
        <v>2.3800000000000003</v>
      </c>
      <c r="E559" s="3">
        <v>10.5</v>
      </c>
      <c r="F559">
        <f t="shared" si="43"/>
        <v>2.3800000000000003</v>
      </c>
      <c r="G559">
        <f t="shared" si="44"/>
        <v>0.12526315789473685</v>
      </c>
    </row>
    <row r="560" spans="1:7">
      <c r="A560" s="1">
        <v>20150605</v>
      </c>
      <c r="B560" s="1">
        <v>16</v>
      </c>
      <c r="C560" s="2">
        <f t="shared" si="41"/>
        <v>2.3800000000000003</v>
      </c>
      <c r="D560">
        <f t="shared" si="42"/>
        <v>2.3800000000000003</v>
      </c>
      <c r="E560" s="3">
        <v>10.5</v>
      </c>
      <c r="F560">
        <f t="shared" si="43"/>
        <v>2.3800000000000003</v>
      </c>
      <c r="G560">
        <f t="shared" si="44"/>
        <v>0.14875000000000002</v>
      </c>
    </row>
    <row r="561" spans="1:7">
      <c r="A561" s="1">
        <v>20150605</v>
      </c>
      <c r="B561" s="1">
        <v>17</v>
      </c>
      <c r="C561" s="2">
        <f t="shared" si="41"/>
        <v>2.3800000000000003</v>
      </c>
      <c r="D561">
        <f t="shared" si="42"/>
        <v>2.3800000000000003</v>
      </c>
      <c r="E561" s="3">
        <v>10.5</v>
      </c>
      <c r="F561">
        <f t="shared" si="43"/>
        <v>2.3800000000000003</v>
      </c>
      <c r="G561">
        <f t="shared" si="44"/>
        <v>0.14000000000000001</v>
      </c>
    </row>
    <row r="562" spans="1:7">
      <c r="A562" s="1">
        <v>20150605</v>
      </c>
      <c r="B562" s="1">
        <v>13</v>
      </c>
      <c r="C562" s="2">
        <f t="shared" ref="C562:C625" si="45">D562-$S$40</f>
        <v>2.1986666666666665</v>
      </c>
      <c r="D562">
        <f t="shared" ref="D562:D625" si="46">0.17*($H$3/12)*E562</f>
        <v>2.1986666666666665</v>
      </c>
      <c r="E562" s="3">
        <v>9.6999999999999993</v>
      </c>
      <c r="F562">
        <f t="shared" si="43"/>
        <v>2.1986666666666665</v>
      </c>
      <c r="G562">
        <f t="shared" si="44"/>
        <v>0.16912820512820512</v>
      </c>
    </row>
    <row r="563" spans="1:7">
      <c r="A563" s="1">
        <v>20150605</v>
      </c>
      <c r="B563" s="1">
        <v>13</v>
      </c>
      <c r="C563" s="2">
        <f t="shared" si="45"/>
        <v>2.1986666666666665</v>
      </c>
      <c r="D563">
        <f t="shared" si="46"/>
        <v>2.1986666666666665</v>
      </c>
      <c r="E563" s="3">
        <v>9.6999999999999993</v>
      </c>
      <c r="F563">
        <f t="shared" si="43"/>
        <v>2.1986666666666665</v>
      </c>
      <c r="G563">
        <f t="shared" si="44"/>
        <v>0.16912820512820512</v>
      </c>
    </row>
    <row r="564" spans="1:7">
      <c r="A564" s="1">
        <v>20150605</v>
      </c>
      <c r="B564" s="1">
        <v>9</v>
      </c>
      <c r="C564" s="2">
        <f t="shared" si="45"/>
        <v>2.1986666666666665</v>
      </c>
      <c r="D564">
        <f t="shared" si="46"/>
        <v>2.1986666666666665</v>
      </c>
      <c r="E564" s="3">
        <v>9.6999999999999993</v>
      </c>
      <c r="F564">
        <f t="shared" si="43"/>
        <v>2.1986666666666665</v>
      </c>
      <c r="G564">
        <f t="shared" si="44"/>
        <v>0.24429629629629629</v>
      </c>
    </row>
    <row r="565" spans="1:7">
      <c r="A565" s="1">
        <v>20150605</v>
      </c>
      <c r="B565" s="1">
        <v>10</v>
      </c>
      <c r="C565" s="2">
        <f t="shared" si="45"/>
        <v>2.1986666666666665</v>
      </c>
      <c r="D565">
        <f t="shared" si="46"/>
        <v>2.1986666666666665</v>
      </c>
      <c r="E565" s="3">
        <v>9.6999999999999993</v>
      </c>
      <c r="F565">
        <f t="shared" si="43"/>
        <v>2.1986666666666665</v>
      </c>
      <c r="G565">
        <f t="shared" si="44"/>
        <v>0.21986666666666665</v>
      </c>
    </row>
    <row r="566" spans="1:7">
      <c r="A566" s="1">
        <v>20150605</v>
      </c>
      <c r="B566" s="1">
        <v>10</v>
      </c>
      <c r="C566" s="2">
        <f t="shared" si="45"/>
        <v>2.1986666666666665</v>
      </c>
      <c r="D566">
        <f t="shared" si="46"/>
        <v>2.1986666666666665</v>
      </c>
      <c r="E566" s="3">
        <v>9.6999999999999993</v>
      </c>
      <c r="F566">
        <f t="shared" si="43"/>
        <v>2.1986666666666665</v>
      </c>
      <c r="G566">
        <f t="shared" si="44"/>
        <v>0.21986666666666665</v>
      </c>
    </row>
    <row r="567" spans="1:7">
      <c r="A567" s="1">
        <v>20150605</v>
      </c>
      <c r="B567" s="1">
        <v>25</v>
      </c>
      <c r="C567" s="2">
        <f t="shared" si="45"/>
        <v>2.5613333333333337</v>
      </c>
      <c r="D567">
        <f t="shared" si="46"/>
        <v>2.5613333333333337</v>
      </c>
      <c r="E567" s="3">
        <v>11.3</v>
      </c>
      <c r="F567">
        <f t="shared" si="43"/>
        <v>2.5613333333333337</v>
      </c>
      <c r="G567">
        <f t="shared" si="44"/>
        <v>0.10245333333333334</v>
      </c>
    </row>
    <row r="568" spans="1:7">
      <c r="A568" s="1">
        <v>20150605</v>
      </c>
      <c r="B568" s="1">
        <v>17</v>
      </c>
      <c r="C568" s="2">
        <f t="shared" si="45"/>
        <v>2.5613333333333337</v>
      </c>
      <c r="D568">
        <f t="shared" si="46"/>
        <v>2.5613333333333337</v>
      </c>
      <c r="E568" s="3">
        <v>11.3</v>
      </c>
      <c r="F568">
        <f t="shared" si="43"/>
        <v>2.5613333333333337</v>
      </c>
      <c r="G568">
        <f t="shared" si="44"/>
        <v>0.1506666666666667</v>
      </c>
    </row>
    <row r="569" spans="1:7">
      <c r="A569" s="1">
        <v>20150605</v>
      </c>
      <c r="B569" s="1">
        <v>25</v>
      </c>
      <c r="C569" s="2">
        <f t="shared" si="45"/>
        <v>2.5613333333333337</v>
      </c>
      <c r="D569">
        <f t="shared" si="46"/>
        <v>2.5613333333333337</v>
      </c>
      <c r="E569" s="3">
        <v>11.3</v>
      </c>
      <c r="F569">
        <f t="shared" si="43"/>
        <v>2.5613333333333337</v>
      </c>
      <c r="G569">
        <f t="shared" si="44"/>
        <v>0.10245333333333334</v>
      </c>
    </row>
    <row r="570" spans="1:7">
      <c r="A570" s="1">
        <v>20150605</v>
      </c>
      <c r="B570" s="1">
        <v>24</v>
      </c>
      <c r="C570" s="2">
        <f t="shared" si="45"/>
        <v>2.5613333333333337</v>
      </c>
      <c r="D570">
        <f t="shared" si="46"/>
        <v>2.5613333333333337</v>
      </c>
      <c r="E570" s="3">
        <v>11.3</v>
      </c>
      <c r="F570">
        <f t="shared" si="43"/>
        <v>2.5613333333333337</v>
      </c>
      <c r="G570">
        <f t="shared" si="44"/>
        <v>0.10672222222222223</v>
      </c>
    </row>
    <row r="571" spans="1:7">
      <c r="A571" s="1">
        <v>20150605</v>
      </c>
      <c r="B571" s="1">
        <v>31</v>
      </c>
      <c r="C571" s="2">
        <f t="shared" si="45"/>
        <v>2.5613333333333337</v>
      </c>
      <c r="D571">
        <f t="shared" si="46"/>
        <v>2.5613333333333337</v>
      </c>
      <c r="E571" s="3">
        <v>11.3</v>
      </c>
      <c r="F571">
        <f t="shared" si="43"/>
        <v>2.5613333333333337</v>
      </c>
      <c r="G571">
        <f t="shared" si="44"/>
        <v>8.2623655913978508E-2</v>
      </c>
    </row>
    <row r="572" spans="1:7">
      <c r="A572" s="1">
        <v>20150605</v>
      </c>
      <c r="B572" s="1">
        <v>25</v>
      </c>
      <c r="C572" s="2">
        <f t="shared" si="45"/>
        <v>2.516</v>
      </c>
      <c r="D572">
        <f t="shared" si="46"/>
        <v>2.516</v>
      </c>
      <c r="E572" s="3">
        <v>11.1</v>
      </c>
      <c r="F572">
        <f t="shared" si="43"/>
        <v>2.516</v>
      </c>
      <c r="G572">
        <f t="shared" si="44"/>
        <v>0.10064000000000001</v>
      </c>
    </row>
    <row r="573" spans="1:7">
      <c r="A573" s="1">
        <v>20150605</v>
      </c>
      <c r="B573" s="1">
        <v>22</v>
      </c>
      <c r="C573" s="2">
        <f t="shared" si="45"/>
        <v>2.516</v>
      </c>
      <c r="D573">
        <f t="shared" si="46"/>
        <v>2.516</v>
      </c>
      <c r="E573" s="3">
        <v>11.1</v>
      </c>
      <c r="F573">
        <f t="shared" si="43"/>
        <v>2.516</v>
      </c>
      <c r="G573">
        <f t="shared" si="44"/>
        <v>0.11436363636363636</v>
      </c>
    </row>
    <row r="574" spans="1:7">
      <c r="A574" s="1">
        <v>20150605</v>
      </c>
      <c r="B574" s="1">
        <v>27</v>
      </c>
      <c r="C574" s="2">
        <f t="shared" si="45"/>
        <v>2.516</v>
      </c>
      <c r="D574">
        <f t="shared" si="46"/>
        <v>2.516</v>
      </c>
      <c r="E574" s="3">
        <v>11.1</v>
      </c>
      <c r="F574">
        <f t="shared" si="43"/>
        <v>2.516</v>
      </c>
      <c r="G574">
        <f t="shared" si="44"/>
        <v>9.318518518518519E-2</v>
      </c>
    </row>
    <row r="575" spans="1:7">
      <c r="A575" s="1">
        <v>20150605</v>
      </c>
      <c r="B575" s="1">
        <v>27</v>
      </c>
      <c r="C575" s="2">
        <f t="shared" si="45"/>
        <v>2.516</v>
      </c>
      <c r="D575">
        <f t="shared" si="46"/>
        <v>2.516</v>
      </c>
      <c r="E575" s="3">
        <v>11.1</v>
      </c>
      <c r="F575">
        <f t="shared" si="43"/>
        <v>2.516</v>
      </c>
      <c r="G575">
        <f t="shared" si="44"/>
        <v>9.318518518518519E-2</v>
      </c>
    </row>
    <row r="576" spans="1:7">
      <c r="A576" s="1">
        <v>20150605</v>
      </c>
      <c r="B576" s="1">
        <v>24</v>
      </c>
      <c r="C576" s="2">
        <f t="shared" si="45"/>
        <v>2.516</v>
      </c>
      <c r="D576">
        <f t="shared" si="46"/>
        <v>2.516</v>
      </c>
      <c r="E576" s="3">
        <v>11.1</v>
      </c>
      <c r="F576">
        <f t="shared" si="43"/>
        <v>2.516</v>
      </c>
      <c r="G576">
        <f t="shared" si="44"/>
        <v>0.10483333333333333</v>
      </c>
    </row>
    <row r="577" spans="1:7">
      <c r="A577" s="1">
        <v>20150605</v>
      </c>
      <c r="B577" s="1">
        <v>17</v>
      </c>
      <c r="C577" s="2">
        <f t="shared" si="45"/>
        <v>1.8360000000000001</v>
      </c>
      <c r="D577">
        <f t="shared" si="46"/>
        <v>1.8360000000000001</v>
      </c>
      <c r="E577" s="3">
        <v>8.1</v>
      </c>
      <c r="F577">
        <f t="shared" si="43"/>
        <v>1.8360000000000001</v>
      </c>
      <c r="G577">
        <f t="shared" si="44"/>
        <v>0.108</v>
      </c>
    </row>
    <row r="578" spans="1:7">
      <c r="A578" s="1">
        <v>20150605</v>
      </c>
      <c r="B578" s="1">
        <v>20</v>
      </c>
      <c r="C578" s="2">
        <f t="shared" si="45"/>
        <v>1.8360000000000001</v>
      </c>
      <c r="D578">
        <f t="shared" si="46"/>
        <v>1.8360000000000001</v>
      </c>
      <c r="E578" s="3">
        <v>8.1</v>
      </c>
      <c r="F578">
        <f t="shared" si="43"/>
        <v>1.8360000000000001</v>
      </c>
      <c r="G578">
        <f t="shared" si="44"/>
        <v>9.1800000000000007E-2</v>
      </c>
    </row>
    <row r="579" spans="1:7">
      <c r="A579" s="1">
        <v>20150605</v>
      </c>
      <c r="B579" s="1">
        <v>18</v>
      </c>
      <c r="C579" s="2">
        <f t="shared" si="45"/>
        <v>1.8360000000000001</v>
      </c>
      <c r="D579">
        <f t="shared" si="46"/>
        <v>1.8360000000000001</v>
      </c>
      <c r="E579" s="3">
        <v>8.1</v>
      </c>
      <c r="F579">
        <f t="shared" si="43"/>
        <v>1.8360000000000001</v>
      </c>
      <c r="G579">
        <f t="shared" si="44"/>
        <v>0.10200000000000001</v>
      </c>
    </row>
    <row r="580" spans="1:7">
      <c r="A580" s="1">
        <v>20150605</v>
      </c>
      <c r="B580" s="1">
        <v>18</v>
      </c>
      <c r="C580" s="2">
        <f t="shared" si="45"/>
        <v>1.8360000000000001</v>
      </c>
      <c r="D580">
        <f t="shared" si="46"/>
        <v>1.8360000000000001</v>
      </c>
      <c r="E580" s="3">
        <v>8.1</v>
      </c>
      <c r="F580">
        <f t="shared" si="43"/>
        <v>1.8360000000000001</v>
      </c>
      <c r="G580">
        <f t="shared" si="44"/>
        <v>0.10200000000000001</v>
      </c>
    </row>
    <row r="581" spans="1:7">
      <c r="A581" s="1">
        <v>20150605</v>
      </c>
      <c r="B581" s="1">
        <v>18</v>
      </c>
      <c r="C581" s="2">
        <f t="shared" si="45"/>
        <v>1.8360000000000001</v>
      </c>
      <c r="D581">
        <f t="shared" si="46"/>
        <v>1.8360000000000001</v>
      </c>
      <c r="E581" s="3">
        <v>8.1</v>
      </c>
      <c r="F581">
        <f t="shared" si="43"/>
        <v>1.8360000000000001</v>
      </c>
      <c r="G581">
        <f t="shared" si="44"/>
        <v>0.10200000000000001</v>
      </c>
    </row>
    <row r="582" spans="1:7">
      <c r="A582" s="1">
        <v>20150605</v>
      </c>
      <c r="B582" s="1">
        <v>26</v>
      </c>
      <c r="C582" s="2">
        <f t="shared" si="45"/>
        <v>1.9493333333333334</v>
      </c>
      <c r="D582">
        <f t="shared" si="46"/>
        <v>1.9493333333333334</v>
      </c>
      <c r="E582" s="3">
        <v>8.6</v>
      </c>
      <c r="F582">
        <f t="shared" si="43"/>
        <v>1.9493333333333334</v>
      </c>
      <c r="G582">
        <f t="shared" si="44"/>
        <v>7.4974358974358973E-2</v>
      </c>
    </row>
    <row r="583" spans="1:7">
      <c r="A583" s="1">
        <v>20150605</v>
      </c>
      <c r="B583" s="1">
        <v>37</v>
      </c>
      <c r="C583" s="2">
        <f t="shared" si="45"/>
        <v>1.9493333333333334</v>
      </c>
      <c r="D583">
        <f t="shared" si="46"/>
        <v>1.9493333333333334</v>
      </c>
      <c r="E583" s="3">
        <v>8.6</v>
      </c>
      <c r="F583">
        <f t="shared" si="43"/>
        <v>1.9493333333333334</v>
      </c>
      <c r="G583">
        <f t="shared" si="44"/>
        <v>5.2684684684684686E-2</v>
      </c>
    </row>
    <row r="584" spans="1:7">
      <c r="A584" s="1">
        <v>20150605</v>
      </c>
      <c r="B584" s="1">
        <v>23</v>
      </c>
      <c r="C584" s="2">
        <f t="shared" si="45"/>
        <v>1.9493333333333334</v>
      </c>
      <c r="D584">
        <f t="shared" si="46"/>
        <v>1.9493333333333334</v>
      </c>
      <c r="E584" s="3">
        <v>8.6</v>
      </c>
      <c r="F584">
        <f t="shared" si="43"/>
        <v>1.9493333333333334</v>
      </c>
      <c r="G584">
        <f t="shared" si="44"/>
        <v>8.4753623188405805E-2</v>
      </c>
    </row>
    <row r="585" spans="1:7">
      <c r="A585" s="1">
        <v>20150605</v>
      </c>
      <c r="B585" s="1">
        <v>22</v>
      </c>
      <c r="C585" s="2">
        <f t="shared" si="45"/>
        <v>1.9493333333333334</v>
      </c>
      <c r="D585">
        <f t="shared" si="46"/>
        <v>1.9493333333333334</v>
      </c>
      <c r="E585" s="3">
        <v>8.6</v>
      </c>
      <c r="F585">
        <f t="shared" si="43"/>
        <v>1.9493333333333334</v>
      </c>
      <c r="G585">
        <f t="shared" si="44"/>
        <v>8.8606060606060605E-2</v>
      </c>
    </row>
    <row r="586" spans="1:7">
      <c r="A586" s="1">
        <v>20150605</v>
      </c>
      <c r="B586" s="1">
        <v>41</v>
      </c>
      <c r="C586" s="2">
        <f t="shared" si="45"/>
        <v>1.9493333333333334</v>
      </c>
      <c r="D586">
        <f t="shared" si="46"/>
        <v>1.9493333333333334</v>
      </c>
      <c r="E586" s="3">
        <v>8.6</v>
      </c>
      <c r="F586">
        <f t="shared" si="43"/>
        <v>1.9493333333333334</v>
      </c>
      <c r="G586">
        <f t="shared" si="44"/>
        <v>4.7544715447154474E-2</v>
      </c>
    </row>
    <row r="587" spans="1:7">
      <c r="A587" s="1">
        <v>20150605</v>
      </c>
      <c r="B587" s="1">
        <v>9</v>
      </c>
      <c r="C587" s="2">
        <f t="shared" si="45"/>
        <v>1.2240000000000002</v>
      </c>
      <c r="D587">
        <f t="shared" si="46"/>
        <v>1.2240000000000002</v>
      </c>
      <c r="E587" s="3">
        <v>5.4</v>
      </c>
      <c r="F587">
        <f t="shared" si="43"/>
        <v>1.2240000000000002</v>
      </c>
      <c r="G587">
        <f t="shared" si="44"/>
        <v>0.13600000000000001</v>
      </c>
    </row>
    <row r="588" spans="1:7">
      <c r="A588" s="1">
        <v>20150605</v>
      </c>
      <c r="B588" s="1">
        <v>14</v>
      </c>
      <c r="C588" s="2">
        <f t="shared" si="45"/>
        <v>1.2240000000000002</v>
      </c>
      <c r="D588">
        <f t="shared" si="46"/>
        <v>1.2240000000000002</v>
      </c>
      <c r="E588" s="3">
        <v>5.4</v>
      </c>
      <c r="F588">
        <f t="shared" si="43"/>
        <v>1.2240000000000002</v>
      </c>
      <c r="G588">
        <f t="shared" si="44"/>
        <v>8.7428571428571439E-2</v>
      </c>
    </row>
    <row r="589" spans="1:7">
      <c r="A589" s="1">
        <v>20150605</v>
      </c>
      <c r="B589" s="1">
        <v>9</v>
      </c>
      <c r="C589" s="2">
        <f t="shared" si="45"/>
        <v>1.2240000000000002</v>
      </c>
      <c r="D589">
        <f t="shared" si="46"/>
        <v>1.2240000000000002</v>
      </c>
      <c r="E589" s="3">
        <v>5.4</v>
      </c>
      <c r="F589">
        <f t="shared" si="43"/>
        <v>1.2240000000000002</v>
      </c>
      <c r="G589">
        <f t="shared" si="44"/>
        <v>0.13600000000000001</v>
      </c>
    </row>
    <row r="590" spans="1:7">
      <c r="A590" s="1">
        <v>20150605</v>
      </c>
      <c r="B590" s="1">
        <v>14</v>
      </c>
      <c r="C590" s="2">
        <f t="shared" si="45"/>
        <v>1.2240000000000002</v>
      </c>
      <c r="D590">
        <f t="shared" si="46"/>
        <v>1.2240000000000002</v>
      </c>
      <c r="E590" s="3">
        <v>5.4</v>
      </c>
      <c r="F590">
        <f t="shared" si="43"/>
        <v>1.2240000000000002</v>
      </c>
      <c r="G590">
        <f t="shared" si="44"/>
        <v>8.7428571428571439E-2</v>
      </c>
    </row>
    <row r="591" spans="1:7">
      <c r="A591" s="1">
        <v>20150605</v>
      </c>
      <c r="B591" s="1">
        <v>16</v>
      </c>
      <c r="C591" s="2">
        <f t="shared" si="45"/>
        <v>1.2240000000000002</v>
      </c>
      <c r="D591">
        <f t="shared" si="46"/>
        <v>1.2240000000000002</v>
      </c>
      <c r="E591" s="3">
        <v>5.4</v>
      </c>
      <c r="F591">
        <f t="shared" si="43"/>
        <v>1.2240000000000002</v>
      </c>
      <c r="G591">
        <f t="shared" si="44"/>
        <v>7.6500000000000012E-2</v>
      </c>
    </row>
    <row r="592" spans="1:7">
      <c r="A592" s="1">
        <v>20150605</v>
      </c>
      <c r="B592" s="1">
        <v>0.01</v>
      </c>
      <c r="C592" s="2">
        <f t="shared" si="45"/>
        <v>0.83866666666666678</v>
      </c>
      <c r="D592">
        <f t="shared" si="46"/>
        <v>0.83866666666666678</v>
      </c>
      <c r="E592" s="3">
        <v>3.7</v>
      </c>
      <c r="F592">
        <f t="shared" si="43"/>
        <v>0.83866666666666678</v>
      </c>
      <c r="G592">
        <f>F592/B592</f>
        <v>83.866666666666674</v>
      </c>
    </row>
    <row r="593" spans="1:7">
      <c r="A593" s="1">
        <v>20150605</v>
      </c>
      <c r="B593" s="1">
        <v>6</v>
      </c>
      <c r="C593" s="2">
        <f t="shared" si="45"/>
        <v>0.83866666666666678</v>
      </c>
      <c r="D593">
        <f t="shared" si="46"/>
        <v>0.83866666666666678</v>
      </c>
      <c r="E593" s="3">
        <v>3.7</v>
      </c>
      <c r="F593">
        <f t="shared" si="43"/>
        <v>0.83866666666666678</v>
      </c>
      <c r="G593">
        <f t="shared" si="44"/>
        <v>0.13977777777777781</v>
      </c>
    </row>
    <row r="594" spans="1:7">
      <c r="A594" s="1">
        <v>20150605</v>
      </c>
      <c r="B594" s="1">
        <v>1</v>
      </c>
      <c r="C594" s="2">
        <f t="shared" si="45"/>
        <v>0.83866666666666678</v>
      </c>
      <c r="D594">
        <f t="shared" si="46"/>
        <v>0.83866666666666678</v>
      </c>
      <c r="E594" s="3">
        <v>3.7</v>
      </c>
      <c r="F594">
        <f t="shared" si="43"/>
        <v>0.83866666666666678</v>
      </c>
      <c r="G594">
        <f t="shared" si="44"/>
        <v>0.83866666666666678</v>
      </c>
    </row>
    <row r="595" spans="1:7">
      <c r="A595" s="1">
        <v>20150605</v>
      </c>
      <c r="B595" s="1">
        <v>6</v>
      </c>
      <c r="C595" s="2">
        <f t="shared" si="45"/>
        <v>0.83866666666666678</v>
      </c>
      <c r="D595">
        <f t="shared" si="46"/>
        <v>0.83866666666666678</v>
      </c>
      <c r="E595" s="3">
        <v>3.7</v>
      </c>
      <c r="F595">
        <f t="shared" si="43"/>
        <v>0.83866666666666678</v>
      </c>
      <c r="G595">
        <f t="shared" si="44"/>
        <v>0.13977777777777781</v>
      </c>
    </row>
    <row r="596" spans="1:7">
      <c r="A596" s="1">
        <v>20150605</v>
      </c>
      <c r="B596" s="1">
        <v>2</v>
      </c>
      <c r="C596" s="2">
        <f t="shared" si="45"/>
        <v>0.83866666666666678</v>
      </c>
      <c r="D596">
        <f t="shared" si="46"/>
        <v>0.83866666666666678</v>
      </c>
      <c r="E596" s="3">
        <v>3.7</v>
      </c>
      <c r="F596">
        <f t="shared" si="43"/>
        <v>0.83866666666666678</v>
      </c>
      <c r="G596">
        <f t="shared" si="44"/>
        <v>0.41933333333333339</v>
      </c>
    </row>
    <row r="597" spans="1:7">
      <c r="A597" s="1">
        <v>20150605</v>
      </c>
      <c r="B597" s="1">
        <v>7</v>
      </c>
      <c r="C597" s="2">
        <f t="shared" si="45"/>
        <v>2.3800000000000003</v>
      </c>
      <c r="D597">
        <f t="shared" si="46"/>
        <v>2.3800000000000003</v>
      </c>
      <c r="E597" s="3">
        <v>10.5</v>
      </c>
      <c r="F597">
        <f t="shared" si="43"/>
        <v>2.3800000000000003</v>
      </c>
      <c r="G597">
        <f t="shared" si="44"/>
        <v>0.34</v>
      </c>
    </row>
    <row r="598" spans="1:7">
      <c r="A598" s="1">
        <v>20150605</v>
      </c>
      <c r="B598" s="1">
        <v>6</v>
      </c>
      <c r="C598" s="2">
        <f t="shared" si="45"/>
        <v>2.3800000000000003</v>
      </c>
      <c r="D598">
        <f t="shared" si="46"/>
        <v>2.3800000000000003</v>
      </c>
      <c r="E598" s="3">
        <v>10.5</v>
      </c>
      <c r="F598">
        <f t="shared" si="43"/>
        <v>2.3800000000000003</v>
      </c>
      <c r="G598">
        <f t="shared" si="44"/>
        <v>0.39666666666666672</v>
      </c>
    </row>
    <row r="599" spans="1:7">
      <c r="A599" s="1">
        <v>20150605</v>
      </c>
      <c r="B599" s="1">
        <v>4</v>
      </c>
      <c r="C599" s="2">
        <f t="shared" si="45"/>
        <v>2.3800000000000003</v>
      </c>
      <c r="D599">
        <f t="shared" si="46"/>
        <v>2.3800000000000003</v>
      </c>
      <c r="E599" s="3">
        <v>10.5</v>
      </c>
      <c r="F599">
        <f t="shared" si="43"/>
        <v>2.3800000000000003</v>
      </c>
      <c r="G599">
        <f t="shared" si="44"/>
        <v>0.59500000000000008</v>
      </c>
    </row>
    <row r="600" spans="1:7">
      <c r="A600" s="1">
        <v>20150605</v>
      </c>
      <c r="B600" s="1">
        <v>2</v>
      </c>
      <c r="C600" s="2">
        <f t="shared" si="45"/>
        <v>2.3800000000000003</v>
      </c>
      <c r="D600">
        <f t="shared" si="46"/>
        <v>2.3800000000000003</v>
      </c>
      <c r="E600" s="3">
        <v>10.5</v>
      </c>
      <c r="F600">
        <f t="shared" si="43"/>
        <v>2.3800000000000003</v>
      </c>
      <c r="G600">
        <f t="shared" si="44"/>
        <v>1.1900000000000002</v>
      </c>
    </row>
    <row r="601" spans="1:7">
      <c r="A601" s="1">
        <v>20150605</v>
      </c>
      <c r="B601" s="1">
        <v>1</v>
      </c>
      <c r="C601" s="2">
        <f t="shared" si="45"/>
        <v>2.3800000000000003</v>
      </c>
      <c r="D601">
        <f t="shared" si="46"/>
        <v>2.3800000000000003</v>
      </c>
      <c r="E601" s="3">
        <v>10.5</v>
      </c>
      <c r="F601">
        <f t="shared" si="43"/>
        <v>2.3800000000000003</v>
      </c>
      <c r="G601">
        <f t="shared" si="44"/>
        <v>2.3800000000000003</v>
      </c>
    </row>
    <row r="602" spans="1:7">
      <c r="A602" s="1">
        <v>20150605</v>
      </c>
      <c r="B602" s="1">
        <v>98</v>
      </c>
      <c r="C602" s="2">
        <f t="shared" si="45"/>
        <v>1.3373333333333335</v>
      </c>
      <c r="D602">
        <f t="shared" si="46"/>
        <v>1.3373333333333335</v>
      </c>
      <c r="E602" s="3">
        <v>5.9</v>
      </c>
      <c r="F602">
        <f t="shared" si="43"/>
        <v>1.3373333333333335</v>
      </c>
      <c r="G602">
        <f t="shared" si="44"/>
        <v>1.3646258503401362E-2</v>
      </c>
    </row>
    <row r="603" spans="1:7">
      <c r="A603" s="1">
        <v>20150605</v>
      </c>
      <c r="B603" s="1">
        <v>11</v>
      </c>
      <c r="C603" s="2">
        <f t="shared" si="45"/>
        <v>1.3373333333333335</v>
      </c>
      <c r="D603">
        <f t="shared" si="46"/>
        <v>1.3373333333333335</v>
      </c>
      <c r="E603" s="3">
        <v>5.9</v>
      </c>
      <c r="F603">
        <f t="shared" si="43"/>
        <v>1.3373333333333335</v>
      </c>
      <c r="G603">
        <f t="shared" si="44"/>
        <v>0.12157575757575759</v>
      </c>
    </row>
    <row r="604" spans="1:7">
      <c r="A604" s="1">
        <v>20150605</v>
      </c>
      <c r="B604" s="1">
        <v>31</v>
      </c>
      <c r="C604" s="2">
        <f t="shared" si="45"/>
        <v>1.3373333333333335</v>
      </c>
      <c r="D604">
        <f t="shared" si="46"/>
        <v>1.3373333333333335</v>
      </c>
      <c r="E604" s="3">
        <v>5.9</v>
      </c>
      <c r="F604">
        <f t="shared" si="43"/>
        <v>1.3373333333333335</v>
      </c>
      <c r="G604">
        <f t="shared" si="44"/>
        <v>4.3139784946236562E-2</v>
      </c>
    </row>
    <row r="605" spans="1:7">
      <c r="A605" s="1">
        <v>20150605</v>
      </c>
      <c r="B605" s="1">
        <v>3</v>
      </c>
      <c r="C605" s="2">
        <f t="shared" si="45"/>
        <v>1.3373333333333335</v>
      </c>
      <c r="D605">
        <f t="shared" si="46"/>
        <v>1.3373333333333335</v>
      </c>
      <c r="E605" s="3">
        <v>5.9</v>
      </c>
      <c r="F605">
        <f t="shared" si="43"/>
        <v>1.3373333333333335</v>
      </c>
      <c r="G605">
        <f t="shared" si="44"/>
        <v>0.44577777777777783</v>
      </c>
    </row>
    <row r="606" spans="1:7">
      <c r="A606" s="1">
        <v>20150605</v>
      </c>
      <c r="B606" s="1">
        <v>75</v>
      </c>
      <c r="C606" s="2">
        <f t="shared" si="45"/>
        <v>1.3373333333333335</v>
      </c>
      <c r="D606">
        <f t="shared" si="46"/>
        <v>1.3373333333333335</v>
      </c>
      <c r="E606" s="3">
        <v>5.9</v>
      </c>
      <c r="F606">
        <f t="shared" si="43"/>
        <v>1.3373333333333335</v>
      </c>
      <c r="G606">
        <f t="shared" si="44"/>
        <v>1.7831111111111114E-2</v>
      </c>
    </row>
    <row r="607" spans="1:7">
      <c r="A607" s="1">
        <v>20150605</v>
      </c>
      <c r="B607" s="1">
        <v>98</v>
      </c>
      <c r="C607" s="2">
        <f t="shared" si="45"/>
        <v>2.0173333333333336</v>
      </c>
      <c r="D607">
        <f t="shared" si="46"/>
        <v>2.0173333333333336</v>
      </c>
      <c r="E607" s="3">
        <v>8.9</v>
      </c>
      <c r="F607">
        <f t="shared" si="43"/>
        <v>2.0173333333333336</v>
      </c>
      <c r="G607">
        <f t="shared" si="44"/>
        <v>2.0585034013605445E-2</v>
      </c>
    </row>
    <row r="608" spans="1:7">
      <c r="A608" s="1">
        <v>20150605</v>
      </c>
      <c r="B608" s="1">
        <v>75</v>
      </c>
      <c r="C608" s="2">
        <f t="shared" si="45"/>
        <v>2.0173333333333336</v>
      </c>
      <c r="D608">
        <f t="shared" si="46"/>
        <v>2.0173333333333336</v>
      </c>
      <c r="E608" s="3">
        <v>8.9</v>
      </c>
      <c r="F608">
        <f t="shared" si="43"/>
        <v>2.0173333333333336</v>
      </c>
      <c r="G608">
        <f t="shared" si="44"/>
        <v>2.6897777777777781E-2</v>
      </c>
    </row>
    <row r="609" spans="1:7">
      <c r="A609" s="1">
        <v>20150605</v>
      </c>
      <c r="B609" s="1">
        <v>66</v>
      </c>
      <c r="C609" s="2">
        <f t="shared" si="45"/>
        <v>2.0173333333333336</v>
      </c>
      <c r="D609">
        <f t="shared" si="46"/>
        <v>2.0173333333333336</v>
      </c>
      <c r="E609" s="3">
        <v>8.9</v>
      </c>
      <c r="F609">
        <f t="shared" si="43"/>
        <v>2.0173333333333336</v>
      </c>
      <c r="G609">
        <f t="shared" si="44"/>
        <v>3.056565656565657E-2</v>
      </c>
    </row>
    <row r="610" spans="1:7">
      <c r="A610" s="1">
        <v>20150605</v>
      </c>
      <c r="B610" s="1">
        <v>96</v>
      </c>
      <c r="C610" s="2">
        <f t="shared" si="45"/>
        <v>2.0173333333333336</v>
      </c>
      <c r="D610">
        <f t="shared" si="46"/>
        <v>2.0173333333333336</v>
      </c>
      <c r="E610" s="3">
        <v>8.9</v>
      </c>
      <c r="F610">
        <f t="shared" si="43"/>
        <v>2.0173333333333336</v>
      </c>
      <c r="G610">
        <f t="shared" si="44"/>
        <v>2.1013888888888891E-2</v>
      </c>
    </row>
    <row r="611" spans="1:7">
      <c r="A611" s="1">
        <v>20150605</v>
      </c>
      <c r="B611" s="1">
        <v>17</v>
      </c>
      <c r="C611" s="2">
        <f t="shared" si="45"/>
        <v>2.0173333333333336</v>
      </c>
      <c r="D611">
        <f t="shared" si="46"/>
        <v>2.0173333333333336</v>
      </c>
      <c r="E611" s="3">
        <v>8.9</v>
      </c>
      <c r="F611">
        <f t="shared" si="43"/>
        <v>2.0173333333333336</v>
      </c>
      <c r="G611">
        <f t="shared" si="44"/>
        <v>0.11866666666666668</v>
      </c>
    </row>
    <row r="612" spans="1:7">
      <c r="A612" s="1">
        <v>20150605</v>
      </c>
      <c r="B612" s="1">
        <v>34</v>
      </c>
      <c r="C612" s="2">
        <f t="shared" si="45"/>
        <v>1.292</v>
      </c>
      <c r="D612">
        <f t="shared" si="46"/>
        <v>1.292</v>
      </c>
      <c r="E612" s="3">
        <v>5.7</v>
      </c>
      <c r="F612">
        <f t="shared" si="43"/>
        <v>1.292</v>
      </c>
      <c r="G612">
        <f t="shared" si="44"/>
        <v>3.7999999999999999E-2</v>
      </c>
    </row>
    <row r="613" spans="1:7">
      <c r="A613" s="1">
        <v>20150605</v>
      </c>
      <c r="B613" s="1">
        <v>20</v>
      </c>
      <c r="C613" s="2">
        <f t="shared" si="45"/>
        <v>1.292</v>
      </c>
      <c r="D613">
        <f t="shared" si="46"/>
        <v>1.292</v>
      </c>
      <c r="E613" s="3">
        <v>5.7</v>
      </c>
      <c r="F613">
        <f t="shared" si="43"/>
        <v>1.292</v>
      </c>
      <c r="G613">
        <f t="shared" si="44"/>
        <v>6.4600000000000005E-2</v>
      </c>
    </row>
    <row r="614" spans="1:7">
      <c r="A614" s="1">
        <v>20150605</v>
      </c>
      <c r="B614" s="1">
        <v>2</v>
      </c>
      <c r="C614" s="2">
        <f t="shared" si="45"/>
        <v>1.292</v>
      </c>
      <c r="D614">
        <f t="shared" si="46"/>
        <v>1.292</v>
      </c>
      <c r="E614" s="3">
        <v>5.7</v>
      </c>
      <c r="F614">
        <f t="shared" si="43"/>
        <v>1.292</v>
      </c>
      <c r="G614">
        <f t="shared" si="44"/>
        <v>0.64600000000000002</v>
      </c>
    </row>
    <row r="615" spans="1:7">
      <c r="A615" s="1">
        <v>20150605</v>
      </c>
      <c r="B615" s="1">
        <v>31</v>
      </c>
      <c r="C615" s="2">
        <f t="shared" si="45"/>
        <v>1.292</v>
      </c>
      <c r="D615">
        <f t="shared" si="46"/>
        <v>1.292</v>
      </c>
      <c r="E615" s="3">
        <v>5.7</v>
      </c>
      <c r="F615">
        <f t="shared" si="43"/>
        <v>1.292</v>
      </c>
      <c r="G615">
        <f t="shared" si="44"/>
        <v>4.1677419354838714E-2</v>
      </c>
    </row>
    <row r="616" spans="1:7">
      <c r="A616" s="1">
        <v>20150605</v>
      </c>
      <c r="B616" s="1">
        <v>10</v>
      </c>
      <c r="C616" s="2">
        <f t="shared" si="45"/>
        <v>1.292</v>
      </c>
      <c r="D616">
        <f t="shared" si="46"/>
        <v>1.292</v>
      </c>
      <c r="E616" s="3">
        <v>5.7</v>
      </c>
      <c r="F616">
        <f t="shared" si="43"/>
        <v>1.292</v>
      </c>
      <c r="G616">
        <f t="shared" si="44"/>
        <v>0.12920000000000001</v>
      </c>
    </row>
    <row r="617" spans="1:7">
      <c r="A617" s="1">
        <v>20150605</v>
      </c>
      <c r="B617" s="1">
        <v>24</v>
      </c>
      <c r="C617" s="2">
        <f t="shared" si="45"/>
        <v>1.2240000000000002</v>
      </c>
      <c r="D617">
        <f t="shared" si="46"/>
        <v>1.2240000000000002</v>
      </c>
      <c r="E617" s="3">
        <v>5.4</v>
      </c>
      <c r="F617">
        <f t="shared" ref="F617:F680" si="47">C617</f>
        <v>1.2240000000000002</v>
      </c>
      <c r="G617">
        <f t="shared" ref="G617:G680" si="48">F617/B617</f>
        <v>5.1000000000000011E-2</v>
      </c>
    </row>
    <row r="618" spans="1:7">
      <c r="A618" s="1">
        <v>20150605</v>
      </c>
      <c r="B618" s="1">
        <v>25</v>
      </c>
      <c r="C618" s="2">
        <f t="shared" si="45"/>
        <v>1.2240000000000002</v>
      </c>
      <c r="D618">
        <f t="shared" si="46"/>
        <v>1.2240000000000002</v>
      </c>
      <c r="E618" s="3">
        <v>5.4</v>
      </c>
      <c r="F618">
        <f t="shared" si="47"/>
        <v>1.2240000000000002</v>
      </c>
      <c r="G618">
        <f t="shared" si="48"/>
        <v>4.896000000000001E-2</v>
      </c>
    </row>
    <row r="619" spans="1:7">
      <c r="A619" s="1">
        <v>20150605</v>
      </c>
      <c r="B619" s="1">
        <v>20</v>
      </c>
      <c r="C619" s="2">
        <f t="shared" si="45"/>
        <v>1.2240000000000002</v>
      </c>
      <c r="D619">
        <f t="shared" si="46"/>
        <v>1.2240000000000002</v>
      </c>
      <c r="E619" s="3">
        <v>5.4</v>
      </c>
      <c r="F619">
        <f t="shared" si="47"/>
        <v>1.2240000000000002</v>
      </c>
      <c r="G619">
        <f t="shared" si="48"/>
        <v>6.1200000000000011E-2</v>
      </c>
    </row>
    <row r="620" spans="1:7">
      <c r="A620" s="1">
        <v>20150605</v>
      </c>
      <c r="B620" s="1">
        <v>37</v>
      </c>
      <c r="C620" s="2">
        <f t="shared" si="45"/>
        <v>1.2240000000000002</v>
      </c>
      <c r="D620">
        <f t="shared" si="46"/>
        <v>1.2240000000000002</v>
      </c>
      <c r="E620" s="3">
        <v>5.4</v>
      </c>
      <c r="F620">
        <f t="shared" si="47"/>
        <v>1.2240000000000002</v>
      </c>
      <c r="G620">
        <f t="shared" si="48"/>
        <v>3.3081081081081085E-2</v>
      </c>
    </row>
    <row r="621" spans="1:7">
      <c r="A621" s="1">
        <v>20150605</v>
      </c>
      <c r="B621" s="1">
        <v>12</v>
      </c>
      <c r="C621" s="2">
        <f t="shared" si="45"/>
        <v>1.2240000000000002</v>
      </c>
      <c r="D621">
        <f t="shared" si="46"/>
        <v>1.2240000000000002</v>
      </c>
      <c r="E621" s="3">
        <v>5.4</v>
      </c>
      <c r="F621">
        <f t="shared" si="47"/>
        <v>1.2240000000000002</v>
      </c>
      <c r="G621">
        <f t="shared" si="48"/>
        <v>0.10200000000000002</v>
      </c>
    </row>
    <row r="622" spans="1:7">
      <c r="A622" s="1">
        <v>20150605</v>
      </c>
      <c r="B622" s="1">
        <v>46</v>
      </c>
      <c r="C622" s="2">
        <f t="shared" si="45"/>
        <v>0.83866666666666678</v>
      </c>
      <c r="D622">
        <f t="shared" si="46"/>
        <v>0.83866666666666678</v>
      </c>
      <c r="E622" s="3">
        <v>3.7</v>
      </c>
      <c r="F622">
        <f t="shared" si="47"/>
        <v>0.83866666666666678</v>
      </c>
      <c r="G622">
        <f t="shared" si="48"/>
        <v>1.8231884057971017E-2</v>
      </c>
    </row>
    <row r="623" spans="1:7">
      <c r="A623" s="1">
        <v>20150605</v>
      </c>
      <c r="B623" s="1">
        <v>22</v>
      </c>
      <c r="C623" s="2">
        <f t="shared" si="45"/>
        <v>0.83866666666666678</v>
      </c>
      <c r="D623">
        <f t="shared" si="46"/>
        <v>0.83866666666666678</v>
      </c>
      <c r="E623" s="3">
        <v>3.7</v>
      </c>
      <c r="F623">
        <f t="shared" si="47"/>
        <v>0.83866666666666678</v>
      </c>
      <c r="G623">
        <f t="shared" si="48"/>
        <v>3.8121212121212125E-2</v>
      </c>
    </row>
    <row r="624" spans="1:7">
      <c r="A624" s="1">
        <v>20150605</v>
      </c>
      <c r="B624" s="1">
        <v>16</v>
      </c>
      <c r="C624" s="2">
        <f t="shared" si="45"/>
        <v>0.83866666666666678</v>
      </c>
      <c r="D624">
        <f t="shared" si="46"/>
        <v>0.83866666666666678</v>
      </c>
      <c r="E624" s="3">
        <v>3.7</v>
      </c>
      <c r="F624">
        <f t="shared" si="47"/>
        <v>0.83866666666666678</v>
      </c>
      <c r="G624">
        <f t="shared" si="48"/>
        <v>5.2416666666666674E-2</v>
      </c>
    </row>
    <row r="625" spans="1:7">
      <c r="A625" s="1">
        <v>20150605</v>
      </c>
      <c r="B625" s="1">
        <v>7</v>
      </c>
      <c r="C625" s="2">
        <f t="shared" si="45"/>
        <v>0.83866666666666678</v>
      </c>
      <c r="D625">
        <f t="shared" si="46"/>
        <v>0.83866666666666678</v>
      </c>
      <c r="E625" s="3">
        <v>3.7</v>
      </c>
      <c r="F625">
        <f t="shared" si="47"/>
        <v>0.83866666666666678</v>
      </c>
      <c r="G625">
        <f t="shared" si="48"/>
        <v>0.11980952380952382</v>
      </c>
    </row>
    <row r="626" spans="1:7">
      <c r="A626" s="1">
        <v>20150605</v>
      </c>
      <c r="B626" s="1">
        <v>15</v>
      </c>
      <c r="C626" s="2">
        <f t="shared" ref="C626:C676" si="49">D626-$S$40</f>
        <v>0.83866666666666678</v>
      </c>
      <c r="D626">
        <f t="shared" ref="D626:D689" si="50">0.17*($H$3/12)*E626</f>
        <v>0.83866666666666678</v>
      </c>
      <c r="E626" s="3">
        <v>3.7</v>
      </c>
      <c r="F626">
        <f t="shared" si="47"/>
        <v>0.83866666666666678</v>
      </c>
      <c r="G626">
        <f t="shared" si="48"/>
        <v>5.591111111111112E-2</v>
      </c>
    </row>
    <row r="627" spans="1:7">
      <c r="A627" s="1">
        <v>20150605</v>
      </c>
      <c r="B627" s="1">
        <v>8</v>
      </c>
      <c r="C627" s="2">
        <f t="shared" si="49"/>
        <v>2.3800000000000003</v>
      </c>
      <c r="D627">
        <f t="shared" si="50"/>
        <v>2.3800000000000003</v>
      </c>
      <c r="E627" s="3">
        <v>10.5</v>
      </c>
      <c r="F627">
        <f t="shared" si="47"/>
        <v>2.3800000000000003</v>
      </c>
      <c r="G627">
        <f t="shared" si="48"/>
        <v>0.29750000000000004</v>
      </c>
    </row>
    <row r="628" spans="1:7">
      <c r="A628" s="1">
        <v>20150605</v>
      </c>
      <c r="B628" s="1">
        <v>7</v>
      </c>
      <c r="C628" s="2">
        <f t="shared" si="49"/>
        <v>2.3800000000000003</v>
      </c>
      <c r="D628">
        <f t="shared" si="50"/>
        <v>2.3800000000000003</v>
      </c>
      <c r="E628" s="3">
        <v>10.5</v>
      </c>
      <c r="F628">
        <f t="shared" si="47"/>
        <v>2.3800000000000003</v>
      </c>
      <c r="G628">
        <f t="shared" si="48"/>
        <v>0.34</v>
      </c>
    </row>
    <row r="629" spans="1:7">
      <c r="A629" s="1">
        <v>20150605</v>
      </c>
      <c r="B629" s="1">
        <v>3</v>
      </c>
      <c r="C629" s="2">
        <f t="shared" si="49"/>
        <v>2.3800000000000003</v>
      </c>
      <c r="D629">
        <f t="shared" si="50"/>
        <v>2.3800000000000003</v>
      </c>
      <c r="E629" s="3">
        <v>10.5</v>
      </c>
      <c r="F629">
        <f t="shared" si="47"/>
        <v>2.3800000000000003</v>
      </c>
      <c r="G629">
        <f t="shared" si="48"/>
        <v>0.79333333333333345</v>
      </c>
    </row>
    <row r="630" spans="1:7">
      <c r="A630" s="1">
        <v>20150605</v>
      </c>
      <c r="B630" s="1">
        <v>4</v>
      </c>
      <c r="C630" s="2">
        <f t="shared" si="49"/>
        <v>2.3800000000000003</v>
      </c>
      <c r="D630">
        <f t="shared" si="50"/>
        <v>2.3800000000000003</v>
      </c>
      <c r="E630" s="3">
        <v>10.5</v>
      </c>
      <c r="F630">
        <f t="shared" si="47"/>
        <v>2.3800000000000003</v>
      </c>
      <c r="G630">
        <f t="shared" si="48"/>
        <v>0.59500000000000008</v>
      </c>
    </row>
    <row r="631" spans="1:7">
      <c r="A631" s="1">
        <v>20150605</v>
      </c>
      <c r="B631" s="1">
        <v>22</v>
      </c>
      <c r="C631" s="2">
        <f t="shared" si="49"/>
        <v>2.3800000000000003</v>
      </c>
      <c r="D631">
        <f t="shared" si="50"/>
        <v>2.3800000000000003</v>
      </c>
      <c r="E631" s="3">
        <v>10.5</v>
      </c>
      <c r="F631">
        <f t="shared" si="47"/>
        <v>2.3800000000000003</v>
      </c>
      <c r="G631">
        <f t="shared" si="48"/>
        <v>0.1081818181818182</v>
      </c>
    </row>
    <row r="632" spans="1:7">
      <c r="A632" s="1">
        <v>20150605</v>
      </c>
      <c r="B632" s="1">
        <v>90</v>
      </c>
      <c r="C632" s="2">
        <f t="shared" si="49"/>
        <v>1.3373333333333335</v>
      </c>
      <c r="D632">
        <f t="shared" si="50"/>
        <v>1.3373333333333335</v>
      </c>
      <c r="E632" s="3">
        <v>5.9</v>
      </c>
      <c r="F632">
        <f t="shared" si="47"/>
        <v>1.3373333333333335</v>
      </c>
      <c r="G632">
        <f t="shared" si="48"/>
        <v>1.4859259259259261E-2</v>
      </c>
    </row>
    <row r="633" spans="1:7">
      <c r="A633" s="1">
        <v>20150605</v>
      </c>
      <c r="B633" s="1">
        <v>8</v>
      </c>
      <c r="C633" s="2">
        <f t="shared" si="49"/>
        <v>1.3373333333333335</v>
      </c>
      <c r="D633">
        <f t="shared" si="50"/>
        <v>1.3373333333333335</v>
      </c>
      <c r="E633" s="3">
        <v>5.9</v>
      </c>
      <c r="F633">
        <f t="shared" si="47"/>
        <v>1.3373333333333335</v>
      </c>
      <c r="G633">
        <f t="shared" si="48"/>
        <v>0.16716666666666669</v>
      </c>
    </row>
    <row r="634" spans="1:7">
      <c r="A634" s="1">
        <v>20150605</v>
      </c>
      <c r="B634" s="1">
        <v>24</v>
      </c>
      <c r="C634" s="2">
        <f t="shared" si="49"/>
        <v>1.3373333333333335</v>
      </c>
      <c r="D634">
        <f t="shared" si="50"/>
        <v>1.3373333333333335</v>
      </c>
      <c r="E634" s="3">
        <v>5.9</v>
      </c>
      <c r="F634">
        <f t="shared" si="47"/>
        <v>1.3373333333333335</v>
      </c>
      <c r="G634">
        <f t="shared" si="48"/>
        <v>5.5722222222222229E-2</v>
      </c>
    </row>
    <row r="635" spans="1:7">
      <c r="A635" s="1">
        <v>20150605</v>
      </c>
      <c r="B635" s="1">
        <v>51</v>
      </c>
      <c r="C635" s="2">
        <f t="shared" si="49"/>
        <v>1.3373333333333335</v>
      </c>
      <c r="D635">
        <f t="shared" si="50"/>
        <v>1.3373333333333335</v>
      </c>
      <c r="E635" s="3">
        <v>5.9</v>
      </c>
      <c r="F635">
        <f t="shared" si="47"/>
        <v>1.3373333333333335</v>
      </c>
      <c r="G635">
        <f t="shared" si="48"/>
        <v>2.6222222222222227E-2</v>
      </c>
    </row>
    <row r="636" spans="1:7">
      <c r="A636" s="1">
        <v>20150605</v>
      </c>
      <c r="B636" s="1">
        <v>105</v>
      </c>
      <c r="C636" s="2">
        <f t="shared" si="49"/>
        <v>1.3373333333333335</v>
      </c>
      <c r="D636">
        <f t="shared" si="50"/>
        <v>1.3373333333333335</v>
      </c>
      <c r="E636" s="3">
        <v>5.9</v>
      </c>
      <c r="F636">
        <f t="shared" si="47"/>
        <v>1.3373333333333335</v>
      </c>
      <c r="G636">
        <f t="shared" si="48"/>
        <v>1.2736507936507938E-2</v>
      </c>
    </row>
    <row r="637" spans="1:7">
      <c r="A637" s="1">
        <v>20150605</v>
      </c>
      <c r="B637" s="1">
        <v>94</v>
      </c>
      <c r="C637" s="2">
        <f t="shared" si="49"/>
        <v>2.0173333333333336</v>
      </c>
      <c r="D637">
        <f t="shared" si="50"/>
        <v>2.0173333333333336</v>
      </c>
      <c r="E637" s="3">
        <v>8.9</v>
      </c>
      <c r="F637">
        <f t="shared" si="47"/>
        <v>2.0173333333333336</v>
      </c>
      <c r="G637">
        <f t="shared" si="48"/>
        <v>2.1460992907801422E-2</v>
      </c>
    </row>
    <row r="638" spans="1:7">
      <c r="A638" s="1">
        <v>20150605</v>
      </c>
      <c r="B638" s="1">
        <v>105</v>
      </c>
      <c r="C638" s="2">
        <f t="shared" si="49"/>
        <v>2.0173333333333336</v>
      </c>
      <c r="D638">
        <f t="shared" si="50"/>
        <v>2.0173333333333336</v>
      </c>
      <c r="E638" s="3">
        <v>8.9</v>
      </c>
      <c r="F638">
        <f t="shared" si="47"/>
        <v>2.0173333333333336</v>
      </c>
      <c r="G638">
        <f t="shared" si="48"/>
        <v>1.9212698412698417E-2</v>
      </c>
    </row>
    <row r="639" spans="1:7">
      <c r="A639" s="1">
        <v>20150605</v>
      </c>
      <c r="B639" s="1">
        <v>96</v>
      </c>
      <c r="C639" s="2">
        <f t="shared" si="49"/>
        <v>2.0173333333333336</v>
      </c>
      <c r="D639">
        <f t="shared" si="50"/>
        <v>2.0173333333333336</v>
      </c>
      <c r="E639" s="3">
        <v>8.9</v>
      </c>
      <c r="F639">
        <f t="shared" si="47"/>
        <v>2.0173333333333336</v>
      </c>
      <c r="G639">
        <f t="shared" si="48"/>
        <v>2.1013888888888891E-2</v>
      </c>
    </row>
    <row r="640" spans="1:7">
      <c r="A640" s="1">
        <v>20150605</v>
      </c>
      <c r="B640" s="1">
        <v>100</v>
      </c>
      <c r="C640" s="2">
        <f t="shared" si="49"/>
        <v>2.0173333333333336</v>
      </c>
      <c r="D640">
        <f t="shared" si="50"/>
        <v>2.0173333333333336</v>
      </c>
      <c r="E640" s="3">
        <v>8.9</v>
      </c>
      <c r="F640">
        <f t="shared" si="47"/>
        <v>2.0173333333333336</v>
      </c>
      <c r="G640">
        <f t="shared" si="48"/>
        <v>2.0173333333333335E-2</v>
      </c>
    </row>
    <row r="641" spans="1:7">
      <c r="A641" s="1">
        <v>20150605</v>
      </c>
      <c r="B641" s="1">
        <v>14</v>
      </c>
      <c r="C641" s="2">
        <f t="shared" si="49"/>
        <v>2.0173333333333336</v>
      </c>
      <c r="D641">
        <f t="shared" si="50"/>
        <v>2.0173333333333336</v>
      </c>
      <c r="E641" s="3">
        <v>8.9</v>
      </c>
      <c r="F641">
        <f t="shared" si="47"/>
        <v>2.0173333333333336</v>
      </c>
      <c r="G641">
        <f t="shared" si="48"/>
        <v>0.14409523809523811</v>
      </c>
    </row>
    <row r="642" spans="1:7">
      <c r="A642" s="1">
        <v>20150605</v>
      </c>
      <c r="B642" s="1">
        <v>30</v>
      </c>
      <c r="C642" s="2">
        <f t="shared" si="49"/>
        <v>1.292</v>
      </c>
      <c r="D642">
        <f t="shared" si="50"/>
        <v>1.292</v>
      </c>
      <c r="E642" s="3">
        <v>5.7</v>
      </c>
      <c r="F642">
        <f t="shared" si="47"/>
        <v>1.292</v>
      </c>
      <c r="G642">
        <f t="shared" si="48"/>
        <v>4.306666666666667E-2</v>
      </c>
    </row>
    <row r="643" spans="1:7">
      <c r="A643" s="1">
        <v>20150605</v>
      </c>
      <c r="B643" s="1">
        <v>28</v>
      </c>
      <c r="C643" s="2">
        <f t="shared" si="49"/>
        <v>1.292</v>
      </c>
      <c r="D643">
        <f t="shared" si="50"/>
        <v>1.292</v>
      </c>
      <c r="E643" s="3">
        <v>5.7</v>
      </c>
      <c r="F643">
        <f t="shared" si="47"/>
        <v>1.292</v>
      </c>
      <c r="G643">
        <f t="shared" si="48"/>
        <v>4.6142857142857145E-2</v>
      </c>
    </row>
    <row r="644" spans="1:7">
      <c r="A644" s="1">
        <v>20150605</v>
      </c>
      <c r="B644" s="1">
        <v>32</v>
      </c>
      <c r="C644" s="2">
        <f t="shared" si="49"/>
        <v>1.292</v>
      </c>
      <c r="D644">
        <f t="shared" si="50"/>
        <v>1.292</v>
      </c>
      <c r="E644" s="3">
        <v>5.7</v>
      </c>
      <c r="F644">
        <f t="shared" si="47"/>
        <v>1.292</v>
      </c>
      <c r="G644">
        <f t="shared" si="48"/>
        <v>4.0375000000000001E-2</v>
      </c>
    </row>
    <row r="645" spans="1:7">
      <c r="A645" s="1">
        <v>20150605</v>
      </c>
      <c r="B645" s="1">
        <v>35</v>
      </c>
      <c r="C645" s="2">
        <f t="shared" si="49"/>
        <v>1.292</v>
      </c>
      <c r="D645">
        <f t="shared" si="50"/>
        <v>1.292</v>
      </c>
      <c r="E645" s="3">
        <v>5.7</v>
      </c>
      <c r="F645">
        <f t="shared" si="47"/>
        <v>1.292</v>
      </c>
      <c r="G645">
        <f t="shared" si="48"/>
        <v>3.6914285714285712E-2</v>
      </c>
    </row>
    <row r="646" spans="1:7">
      <c r="A646" s="1">
        <v>20150605</v>
      </c>
      <c r="B646" s="1">
        <v>48</v>
      </c>
      <c r="C646" s="2">
        <f t="shared" si="49"/>
        <v>1.292</v>
      </c>
      <c r="D646">
        <f t="shared" si="50"/>
        <v>1.292</v>
      </c>
      <c r="E646" s="3">
        <v>5.7</v>
      </c>
      <c r="F646">
        <f t="shared" si="47"/>
        <v>1.292</v>
      </c>
      <c r="G646">
        <f t="shared" si="48"/>
        <v>2.6916666666666669E-2</v>
      </c>
    </row>
    <row r="647" spans="1:7">
      <c r="A647" s="1">
        <v>20150605</v>
      </c>
      <c r="B647" s="1">
        <v>24</v>
      </c>
      <c r="C647" s="2">
        <f t="shared" si="49"/>
        <v>1.2240000000000002</v>
      </c>
      <c r="D647">
        <f t="shared" si="50"/>
        <v>1.2240000000000002</v>
      </c>
      <c r="E647" s="3">
        <v>5.4</v>
      </c>
      <c r="F647">
        <f t="shared" si="47"/>
        <v>1.2240000000000002</v>
      </c>
      <c r="G647">
        <f t="shared" si="48"/>
        <v>5.1000000000000011E-2</v>
      </c>
    </row>
    <row r="648" spans="1:7">
      <c r="A648" s="1">
        <v>20150605</v>
      </c>
      <c r="B648" s="1">
        <v>30</v>
      </c>
      <c r="C648" s="2">
        <f t="shared" si="49"/>
        <v>1.2240000000000002</v>
      </c>
      <c r="D648">
        <f t="shared" si="50"/>
        <v>1.2240000000000002</v>
      </c>
      <c r="E648" s="3">
        <v>5.4</v>
      </c>
      <c r="F648">
        <f t="shared" si="47"/>
        <v>1.2240000000000002</v>
      </c>
      <c r="G648">
        <f t="shared" si="48"/>
        <v>4.080000000000001E-2</v>
      </c>
    </row>
    <row r="649" spans="1:7">
      <c r="A649" s="1">
        <v>20150605</v>
      </c>
      <c r="B649" s="1">
        <v>43</v>
      </c>
      <c r="C649" s="2">
        <f t="shared" si="49"/>
        <v>1.2240000000000002</v>
      </c>
      <c r="D649">
        <f t="shared" si="50"/>
        <v>1.2240000000000002</v>
      </c>
      <c r="E649" s="3">
        <v>5.4</v>
      </c>
      <c r="F649">
        <f t="shared" si="47"/>
        <v>1.2240000000000002</v>
      </c>
      <c r="G649">
        <f t="shared" si="48"/>
        <v>2.8465116279069773E-2</v>
      </c>
    </row>
    <row r="650" spans="1:7">
      <c r="A650" s="1">
        <v>20150605</v>
      </c>
      <c r="B650" s="1">
        <v>38</v>
      </c>
      <c r="C650" s="2">
        <f t="shared" si="49"/>
        <v>1.2240000000000002</v>
      </c>
      <c r="D650">
        <f t="shared" si="50"/>
        <v>1.2240000000000002</v>
      </c>
      <c r="E650" s="3">
        <v>5.4</v>
      </c>
      <c r="F650">
        <f t="shared" si="47"/>
        <v>1.2240000000000002</v>
      </c>
      <c r="G650">
        <f t="shared" si="48"/>
        <v>3.2210526315789481E-2</v>
      </c>
    </row>
    <row r="651" spans="1:7">
      <c r="A651" s="1">
        <v>20150605</v>
      </c>
      <c r="B651" s="1">
        <v>43</v>
      </c>
      <c r="C651" s="2">
        <f t="shared" si="49"/>
        <v>1.2240000000000002</v>
      </c>
      <c r="D651">
        <f t="shared" si="50"/>
        <v>1.2240000000000002</v>
      </c>
      <c r="E651" s="3">
        <v>5.4</v>
      </c>
      <c r="F651">
        <f t="shared" si="47"/>
        <v>1.2240000000000002</v>
      </c>
      <c r="G651">
        <f t="shared" si="48"/>
        <v>2.8465116279069773E-2</v>
      </c>
    </row>
    <row r="652" spans="1:7">
      <c r="A652" s="1">
        <v>20150605</v>
      </c>
      <c r="B652" s="1">
        <v>50</v>
      </c>
      <c r="C652" s="2">
        <f t="shared" si="49"/>
        <v>0.83866666666666678</v>
      </c>
      <c r="D652">
        <f t="shared" si="50"/>
        <v>0.83866666666666678</v>
      </c>
      <c r="E652" s="3">
        <v>3.7</v>
      </c>
      <c r="F652">
        <f t="shared" si="47"/>
        <v>0.83866666666666678</v>
      </c>
      <c r="G652">
        <f t="shared" si="48"/>
        <v>1.6773333333333335E-2</v>
      </c>
    </row>
    <row r="653" spans="1:7">
      <c r="A653" s="1">
        <v>20150605</v>
      </c>
      <c r="B653" s="1">
        <v>45</v>
      </c>
      <c r="C653" s="2">
        <f t="shared" si="49"/>
        <v>0.83866666666666678</v>
      </c>
      <c r="D653">
        <f t="shared" si="50"/>
        <v>0.83866666666666678</v>
      </c>
      <c r="E653" s="3">
        <v>3.7</v>
      </c>
      <c r="F653">
        <f t="shared" si="47"/>
        <v>0.83866666666666678</v>
      </c>
      <c r="G653">
        <f t="shared" si="48"/>
        <v>1.8637037037037039E-2</v>
      </c>
    </row>
    <row r="654" spans="1:7">
      <c r="A654" s="1">
        <v>20150605</v>
      </c>
      <c r="B654" s="1">
        <v>47</v>
      </c>
      <c r="C654" s="2">
        <f t="shared" si="49"/>
        <v>0.83866666666666678</v>
      </c>
      <c r="D654">
        <f t="shared" si="50"/>
        <v>0.83866666666666678</v>
      </c>
      <c r="E654" s="3">
        <v>3.7</v>
      </c>
      <c r="F654">
        <f t="shared" si="47"/>
        <v>0.83866666666666678</v>
      </c>
      <c r="G654">
        <f t="shared" si="48"/>
        <v>1.7843971631205675E-2</v>
      </c>
    </row>
    <row r="655" spans="1:7">
      <c r="A655" s="1">
        <v>20150605</v>
      </c>
      <c r="B655" s="1">
        <v>35</v>
      </c>
      <c r="C655" s="2">
        <f t="shared" si="49"/>
        <v>0.83866666666666678</v>
      </c>
      <c r="D655">
        <f t="shared" si="50"/>
        <v>0.83866666666666678</v>
      </c>
      <c r="E655" s="3">
        <v>3.7</v>
      </c>
      <c r="F655">
        <f t="shared" si="47"/>
        <v>0.83866666666666678</v>
      </c>
      <c r="G655">
        <f t="shared" si="48"/>
        <v>2.3961904761904764E-2</v>
      </c>
    </row>
    <row r="656" spans="1:7">
      <c r="A656" s="1">
        <v>20150605</v>
      </c>
      <c r="B656" s="1">
        <v>29</v>
      </c>
      <c r="C656" s="2">
        <f t="shared" si="49"/>
        <v>0.83866666666666678</v>
      </c>
      <c r="D656">
        <f t="shared" si="50"/>
        <v>0.83866666666666678</v>
      </c>
      <c r="E656" s="3">
        <v>3.7</v>
      </c>
      <c r="F656">
        <f t="shared" si="47"/>
        <v>0.83866666666666678</v>
      </c>
      <c r="G656">
        <f t="shared" si="48"/>
        <v>2.8919540229885063E-2</v>
      </c>
    </row>
    <row r="657" spans="1:7">
      <c r="A657" s="1">
        <v>20150605</v>
      </c>
      <c r="B657" s="1">
        <v>39</v>
      </c>
      <c r="C657" s="2">
        <f t="shared" si="49"/>
        <v>2.3800000000000003</v>
      </c>
      <c r="D657">
        <f t="shared" si="50"/>
        <v>2.3800000000000003</v>
      </c>
      <c r="E657" s="3">
        <v>10.5</v>
      </c>
      <c r="F657">
        <f t="shared" si="47"/>
        <v>2.3800000000000003</v>
      </c>
      <c r="G657">
        <f t="shared" si="48"/>
        <v>6.1025641025641036E-2</v>
      </c>
    </row>
    <row r="658" spans="1:7">
      <c r="A658" s="1">
        <v>20150605</v>
      </c>
      <c r="B658" s="1">
        <v>26</v>
      </c>
      <c r="C658" s="2">
        <f t="shared" si="49"/>
        <v>2.3800000000000003</v>
      </c>
      <c r="D658">
        <f t="shared" si="50"/>
        <v>2.3800000000000003</v>
      </c>
      <c r="E658" s="3">
        <v>10.5</v>
      </c>
      <c r="F658">
        <f t="shared" si="47"/>
        <v>2.3800000000000003</v>
      </c>
      <c r="G658">
        <f t="shared" si="48"/>
        <v>9.1538461538461555E-2</v>
      </c>
    </row>
    <row r="659" spans="1:7">
      <c r="A659" s="1">
        <v>20150605</v>
      </c>
      <c r="B659" s="1">
        <v>16</v>
      </c>
      <c r="C659" s="2">
        <f t="shared" si="49"/>
        <v>2.3800000000000003</v>
      </c>
      <c r="D659">
        <f t="shared" si="50"/>
        <v>2.3800000000000003</v>
      </c>
      <c r="E659" s="3">
        <v>10.5</v>
      </c>
      <c r="F659">
        <f t="shared" si="47"/>
        <v>2.3800000000000003</v>
      </c>
      <c r="G659">
        <f t="shared" si="48"/>
        <v>0.14875000000000002</v>
      </c>
    </row>
    <row r="660" spans="1:7">
      <c r="A660" s="1">
        <v>20150605</v>
      </c>
      <c r="B660" s="1">
        <v>5</v>
      </c>
      <c r="C660" s="2">
        <f t="shared" si="49"/>
        <v>2.3800000000000003</v>
      </c>
      <c r="D660">
        <f t="shared" si="50"/>
        <v>2.3800000000000003</v>
      </c>
      <c r="E660" s="3">
        <v>10.5</v>
      </c>
      <c r="F660">
        <f t="shared" si="47"/>
        <v>2.3800000000000003</v>
      </c>
      <c r="G660">
        <f t="shared" si="48"/>
        <v>0.47600000000000009</v>
      </c>
    </row>
    <row r="661" spans="1:7">
      <c r="A661" s="1">
        <v>20150605</v>
      </c>
      <c r="B661" s="1">
        <v>48</v>
      </c>
      <c r="C661" s="2">
        <f t="shared" si="49"/>
        <v>2.3800000000000003</v>
      </c>
      <c r="D661">
        <f t="shared" si="50"/>
        <v>2.3800000000000003</v>
      </c>
      <c r="E661" s="3">
        <v>10.5</v>
      </c>
      <c r="F661">
        <f t="shared" si="47"/>
        <v>2.3800000000000003</v>
      </c>
      <c r="G661">
        <f t="shared" si="48"/>
        <v>4.958333333333334E-2</v>
      </c>
    </row>
    <row r="662" spans="1:7">
      <c r="A662" s="1">
        <v>20150605</v>
      </c>
      <c r="B662" s="1">
        <v>87</v>
      </c>
      <c r="C662" s="2">
        <f t="shared" si="49"/>
        <v>1.3373333333333335</v>
      </c>
      <c r="D662">
        <f t="shared" si="50"/>
        <v>1.3373333333333335</v>
      </c>
      <c r="E662" s="3">
        <v>5.9</v>
      </c>
      <c r="F662">
        <f t="shared" si="47"/>
        <v>1.3373333333333335</v>
      </c>
      <c r="G662">
        <f t="shared" si="48"/>
        <v>1.5371647509578546E-2</v>
      </c>
    </row>
    <row r="663" spans="1:7">
      <c r="A663" s="1">
        <v>20150605</v>
      </c>
      <c r="B663" s="1">
        <v>69</v>
      </c>
      <c r="C663" s="2">
        <f t="shared" si="49"/>
        <v>1.3373333333333335</v>
      </c>
      <c r="D663">
        <f t="shared" si="50"/>
        <v>1.3373333333333335</v>
      </c>
      <c r="E663" s="3">
        <v>5.9</v>
      </c>
      <c r="F663">
        <f t="shared" si="47"/>
        <v>1.3373333333333335</v>
      </c>
      <c r="G663">
        <f t="shared" si="48"/>
        <v>1.9381642512077298E-2</v>
      </c>
    </row>
    <row r="664" spans="1:7">
      <c r="A664" s="1">
        <v>20150605</v>
      </c>
      <c r="B664" s="1">
        <v>66</v>
      </c>
      <c r="C664" s="2">
        <f t="shared" si="49"/>
        <v>1.3373333333333335</v>
      </c>
      <c r="D664">
        <f t="shared" si="50"/>
        <v>1.3373333333333335</v>
      </c>
      <c r="E664" s="3">
        <v>5.9</v>
      </c>
      <c r="F664">
        <f t="shared" si="47"/>
        <v>1.3373333333333335</v>
      </c>
      <c r="G664">
        <f t="shared" si="48"/>
        <v>2.0262626262626263E-2</v>
      </c>
    </row>
    <row r="665" spans="1:7">
      <c r="A665" s="1">
        <v>20150605</v>
      </c>
      <c r="B665" s="1">
        <v>62</v>
      </c>
      <c r="C665" s="2">
        <f t="shared" si="49"/>
        <v>1.3373333333333335</v>
      </c>
      <c r="D665">
        <f t="shared" si="50"/>
        <v>1.3373333333333335</v>
      </c>
      <c r="E665" s="3">
        <v>5.9</v>
      </c>
      <c r="F665">
        <f t="shared" si="47"/>
        <v>1.3373333333333335</v>
      </c>
      <c r="G665">
        <f t="shared" si="48"/>
        <v>2.1569892473118281E-2</v>
      </c>
    </row>
    <row r="666" spans="1:7">
      <c r="A666" s="1">
        <v>20150605</v>
      </c>
      <c r="B666" s="1">
        <v>83</v>
      </c>
      <c r="C666" s="2">
        <f t="shared" si="49"/>
        <v>1.3373333333333335</v>
      </c>
      <c r="D666">
        <f t="shared" si="50"/>
        <v>1.3373333333333335</v>
      </c>
      <c r="E666" s="3">
        <v>5.9</v>
      </c>
      <c r="F666">
        <f t="shared" si="47"/>
        <v>1.3373333333333335</v>
      </c>
      <c r="G666">
        <f t="shared" si="48"/>
        <v>1.611244979919679E-2</v>
      </c>
    </row>
    <row r="667" spans="1:7">
      <c r="A667" s="1">
        <v>20150605</v>
      </c>
      <c r="B667" s="1">
        <v>86</v>
      </c>
      <c r="C667" s="2">
        <f t="shared" si="49"/>
        <v>2.0173333333333336</v>
      </c>
      <c r="D667">
        <f t="shared" si="50"/>
        <v>2.0173333333333336</v>
      </c>
      <c r="E667" s="3">
        <v>8.9</v>
      </c>
      <c r="F667">
        <f t="shared" si="47"/>
        <v>2.0173333333333336</v>
      </c>
      <c r="G667">
        <f t="shared" si="48"/>
        <v>2.3457364341085276E-2</v>
      </c>
    </row>
    <row r="668" spans="1:7">
      <c r="A668" s="1">
        <v>20150605</v>
      </c>
      <c r="B668" s="1">
        <v>81</v>
      </c>
      <c r="C668" s="2">
        <f t="shared" si="49"/>
        <v>2.0173333333333336</v>
      </c>
      <c r="D668">
        <f t="shared" si="50"/>
        <v>2.0173333333333336</v>
      </c>
      <c r="E668" s="3">
        <v>8.9</v>
      </c>
      <c r="F668">
        <f t="shared" si="47"/>
        <v>2.0173333333333336</v>
      </c>
      <c r="G668">
        <f t="shared" si="48"/>
        <v>2.4905349794238685E-2</v>
      </c>
    </row>
    <row r="669" spans="1:7">
      <c r="A669" s="1">
        <v>20150605</v>
      </c>
      <c r="B669" s="1">
        <v>86</v>
      </c>
      <c r="C669" s="2">
        <f t="shared" si="49"/>
        <v>2.0173333333333336</v>
      </c>
      <c r="D669">
        <f t="shared" si="50"/>
        <v>2.0173333333333336</v>
      </c>
      <c r="E669" s="3">
        <v>8.9</v>
      </c>
      <c r="F669">
        <f t="shared" si="47"/>
        <v>2.0173333333333336</v>
      </c>
      <c r="G669">
        <f t="shared" si="48"/>
        <v>2.3457364341085276E-2</v>
      </c>
    </row>
    <row r="670" spans="1:7">
      <c r="A670" s="1">
        <v>20150605</v>
      </c>
      <c r="B670" s="1">
        <v>80</v>
      </c>
      <c r="C670" s="2">
        <f t="shared" si="49"/>
        <v>2.0173333333333336</v>
      </c>
      <c r="D670">
        <f t="shared" si="50"/>
        <v>2.0173333333333336</v>
      </c>
      <c r="E670" s="3">
        <v>8.9</v>
      </c>
      <c r="F670">
        <f t="shared" si="47"/>
        <v>2.0173333333333336</v>
      </c>
      <c r="G670">
        <f t="shared" si="48"/>
        <v>2.5216666666666672E-2</v>
      </c>
    </row>
    <row r="671" spans="1:7">
      <c r="A671" s="1">
        <v>20150605</v>
      </c>
      <c r="B671" s="1">
        <v>52</v>
      </c>
      <c r="C671" s="2">
        <f t="shared" si="49"/>
        <v>2.0173333333333336</v>
      </c>
      <c r="D671">
        <f t="shared" si="50"/>
        <v>2.0173333333333336</v>
      </c>
      <c r="E671" s="3">
        <v>8.9</v>
      </c>
      <c r="F671">
        <f t="shared" si="47"/>
        <v>2.0173333333333336</v>
      </c>
      <c r="G671">
        <f t="shared" si="48"/>
        <v>3.8794871794871802E-2</v>
      </c>
    </row>
    <row r="672" spans="1:7">
      <c r="A672" s="1">
        <v>20150605</v>
      </c>
      <c r="B672" s="1">
        <v>50</v>
      </c>
      <c r="C672" s="2">
        <f t="shared" si="49"/>
        <v>1.292</v>
      </c>
      <c r="D672">
        <f t="shared" si="50"/>
        <v>1.292</v>
      </c>
      <c r="E672" s="3">
        <v>5.7</v>
      </c>
      <c r="F672">
        <f t="shared" si="47"/>
        <v>1.292</v>
      </c>
      <c r="G672">
        <f t="shared" si="48"/>
        <v>2.5840000000000002E-2</v>
      </c>
    </row>
    <row r="673" spans="1:7">
      <c r="A673" s="1">
        <v>20150605</v>
      </c>
      <c r="B673" s="1">
        <v>52</v>
      </c>
      <c r="C673" s="2">
        <f t="shared" si="49"/>
        <v>1.292</v>
      </c>
      <c r="D673">
        <f t="shared" si="50"/>
        <v>1.292</v>
      </c>
      <c r="E673" s="3">
        <v>5.7</v>
      </c>
      <c r="F673">
        <f t="shared" si="47"/>
        <v>1.292</v>
      </c>
      <c r="G673">
        <f t="shared" si="48"/>
        <v>2.4846153846153848E-2</v>
      </c>
    </row>
    <row r="674" spans="1:7">
      <c r="A674" s="1">
        <v>20150605</v>
      </c>
      <c r="B674" s="1">
        <v>56</v>
      </c>
      <c r="C674" s="2">
        <f t="shared" si="49"/>
        <v>1.292</v>
      </c>
      <c r="D674">
        <f t="shared" si="50"/>
        <v>1.292</v>
      </c>
      <c r="E674" s="3">
        <v>5.7</v>
      </c>
      <c r="F674">
        <f t="shared" si="47"/>
        <v>1.292</v>
      </c>
      <c r="G674">
        <f t="shared" si="48"/>
        <v>2.3071428571428573E-2</v>
      </c>
    </row>
    <row r="675" spans="1:7">
      <c r="A675" s="1">
        <v>20150605</v>
      </c>
      <c r="B675" s="1">
        <v>28</v>
      </c>
      <c r="C675" s="2">
        <f t="shared" si="49"/>
        <v>1.292</v>
      </c>
      <c r="D675">
        <f t="shared" si="50"/>
        <v>1.292</v>
      </c>
      <c r="E675" s="3">
        <v>5.7</v>
      </c>
      <c r="F675">
        <f t="shared" si="47"/>
        <v>1.292</v>
      </c>
      <c r="G675">
        <f t="shared" si="48"/>
        <v>4.6142857142857145E-2</v>
      </c>
    </row>
    <row r="676" spans="1:7">
      <c r="A676" s="1">
        <v>20150605</v>
      </c>
      <c r="B676" s="1">
        <v>46</v>
      </c>
      <c r="C676" s="2">
        <f t="shared" si="49"/>
        <v>1.292</v>
      </c>
      <c r="D676">
        <f t="shared" si="50"/>
        <v>1.292</v>
      </c>
      <c r="E676" s="3">
        <v>5.7</v>
      </c>
      <c r="F676">
        <f t="shared" si="47"/>
        <v>1.292</v>
      </c>
      <c r="G676">
        <f t="shared" si="48"/>
        <v>2.8086956521739131E-2</v>
      </c>
    </row>
    <row r="677" spans="1:7">
      <c r="A677" s="1">
        <v>20150604</v>
      </c>
      <c r="B677" s="1">
        <v>112</v>
      </c>
      <c r="C677" s="2">
        <f>D677-$S$39</f>
        <v>1.8266666666666667</v>
      </c>
      <c r="D677">
        <f t="shared" si="50"/>
        <v>1.9266666666666667</v>
      </c>
      <c r="E677" s="3">
        <v>8.5</v>
      </c>
      <c r="F677">
        <f t="shared" si="47"/>
        <v>1.8266666666666667</v>
      </c>
      <c r="G677">
        <f t="shared" si="48"/>
        <v>1.6309523809523808E-2</v>
      </c>
    </row>
    <row r="678" spans="1:7">
      <c r="A678" s="1">
        <v>20150604</v>
      </c>
      <c r="B678" s="1">
        <v>111</v>
      </c>
      <c r="C678" s="2">
        <f t="shared" ref="C678:C741" si="51">D678-$S$39</f>
        <v>1.8266666666666667</v>
      </c>
      <c r="D678">
        <f t="shared" si="50"/>
        <v>1.9266666666666667</v>
      </c>
      <c r="E678" s="3">
        <v>8.5</v>
      </c>
      <c r="F678">
        <f t="shared" si="47"/>
        <v>1.8266666666666667</v>
      </c>
      <c r="G678">
        <f t="shared" si="48"/>
        <v>1.6456456456456457E-2</v>
      </c>
    </row>
    <row r="679" spans="1:7">
      <c r="A679" s="1">
        <v>20150604</v>
      </c>
      <c r="B679" s="1">
        <v>112</v>
      </c>
      <c r="C679" s="2">
        <f t="shared" si="51"/>
        <v>1.8266666666666667</v>
      </c>
      <c r="D679">
        <f t="shared" si="50"/>
        <v>1.9266666666666667</v>
      </c>
      <c r="E679" s="3">
        <v>8.5</v>
      </c>
      <c r="F679">
        <f t="shared" si="47"/>
        <v>1.8266666666666667</v>
      </c>
      <c r="G679">
        <f t="shared" si="48"/>
        <v>1.6309523809523808E-2</v>
      </c>
    </row>
    <row r="680" spans="1:7">
      <c r="A680" s="1">
        <v>20150604</v>
      </c>
      <c r="B680" s="1">
        <v>99</v>
      </c>
      <c r="C680" s="2">
        <f t="shared" si="51"/>
        <v>1.8266666666666667</v>
      </c>
      <c r="D680">
        <f t="shared" si="50"/>
        <v>1.9266666666666667</v>
      </c>
      <c r="E680" s="3">
        <v>8.5</v>
      </c>
      <c r="F680">
        <f t="shared" si="47"/>
        <v>1.8266666666666667</v>
      </c>
      <c r="G680">
        <f t="shared" si="48"/>
        <v>1.8451178451178451E-2</v>
      </c>
    </row>
    <row r="681" spans="1:7">
      <c r="A681" s="1">
        <v>20150604</v>
      </c>
      <c r="B681" s="1">
        <v>109</v>
      </c>
      <c r="C681" s="2">
        <f t="shared" si="51"/>
        <v>1.8266666666666667</v>
      </c>
      <c r="D681">
        <f t="shared" si="50"/>
        <v>1.9266666666666667</v>
      </c>
      <c r="E681" s="3">
        <v>8.5</v>
      </c>
      <c r="F681">
        <f t="shared" ref="F681:F744" si="52">C681</f>
        <v>1.8266666666666667</v>
      </c>
      <c r="G681">
        <f t="shared" ref="G681:G744" si="53">F681/B681</f>
        <v>1.675840978593272E-2</v>
      </c>
    </row>
    <row r="682" spans="1:7">
      <c r="A682" s="1">
        <v>20150604</v>
      </c>
      <c r="B682" s="1">
        <v>110</v>
      </c>
      <c r="C682" s="2">
        <f t="shared" si="51"/>
        <v>2.1213333333333337</v>
      </c>
      <c r="D682">
        <f t="shared" si="50"/>
        <v>2.2213333333333338</v>
      </c>
      <c r="E682" s="3">
        <v>9.8000000000000007</v>
      </c>
      <c r="F682">
        <f t="shared" si="52"/>
        <v>2.1213333333333337</v>
      </c>
      <c r="G682">
        <f t="shared" si="53"/>
        <v>1.9284848484848488E-2</v>
      </c>
    </row>
    <row r="683" spans="1:7">
      <c r="A683" s="1">
        <v>20150604</v>
      </c>
      <c r="B683" s="1">
        <v>109</v>
      </c>
      <c r="C683" s="2">
        <f t="shared" si="51"/>
        <v>2.1213333333333337</v>
      </c>
      <c r="D683">
        <f t="shared" si="50"/>
        <v>2.2213333333333338</v>
      </c>
      <c r="E683" s="3">
        <v>9.8000000000000007</v>
      </c>
      <c r="F683">
        <f t="shared" si="52"/>
        <v>2.1213333333333337</v>
      </c>
      <c r="G683">
        <f t="shared" si="53"/>
        <v>1.9461773700305815E-2</v>
      </c>
    </row>
    <row r="684" spans="1:7">
      <c r="A684" s="1">
        <v>20150604</v>
      </c>
      <c r="B684" s="1">
        <v>110</v>
      </c>
      <c r="C684" s="2">
        <f t="shared" si="51"/>
        <v>2.1213333333333337</v>
      </c>
      <c r="D684">
        <f t="shared" si="50"/>
        <v>2.2213333333333338</v>
      </c>
      <c r="E684" s="3">
        <v>9.8000000000000007</v>
      </c>
      <c r="F684">
        <f t="shared" si="52"/>
        <v>2.1213333333333337</v>
      </c>
      <c r="G684">
        <f t="shared" si="53"/>
        <v>1.9284848484848488E-2</v>
      </c>
    </row>
    <row r="685" spans="1:7">
      <c r="A685" s="1">
        <v>20150604</v>
      </c>
      <c r="B685" s="1">
        <v>105</v>
      </c>
      <c r="C685" s="2">
        <f t="shared" si="51"/>
        <v>2.1213333333333337</v>
      </c>
      <c r="D685">
        <f t="shared" si="50"/>
        <v>2.2213333333333338</v>
      </c>
      <c r="E685" s="3">
        <v>9.8000000000000007</v>
      </c>
      <c r="F685">
        <f t="shared" si="52"/>
        <v>2.1213333333333337</v>
      </c>
      <c r="G685">
        <f t="shared" si="53"/>
        <v>2.0203174603174608E-2</v>
      </c>
    </row>
    <row r="686" spans="1:7">
      <c r="A686" s="1">
        <v>20150604</v>
      </c>
      <c r="B686" s="1">
        <v>108</v>
      </c>
      <c r="C686" s="2">
        <f t="shared" si="51"/>
        <v>2.1213333333333337</v>
      </c>
      <c r="D686">
        <f t="shared" si="50"/>
        <v>2.2213333333333338</v>
      </c>
      <c r="E686" s="3">
        <v>9.8000000000000007</v>
      </c>
      <c r="F686">
        <f t="shared" si="52"/>
        <v>2.1213333333333337</v>
      </c>
      <c r="G686">
        <f t="shared" si="53"/>
        <v>1.9641975308641979E-2</v>
      </c>
    </row>
    <row r="687" spans="1:7">
      <c r="A687" s="1">
        <v>20150604</v>
      </c>
      <c r="B687" s="1">
        <v>58</v>
      </c>
      <c r="C687" s="2">
        <f t="shared" si="51"/>
        <v>1.0106666666666668</v>
      </c>
      <c r="D687">
        <f t="shared" si="50"/>
        <v>1.1106666666666669</v>
      </c>
      <c r="E687" s="3">
        <v>4.9000000000000004</v>
      </c>
      <c r="F687">
        <f t="shared" si="52"/>
        <v>1.0106666666666668</v>
      </c>
      <c r="G687">
        <f t="shared" si="53"/>
        <v>1.7425287356321841E-2</v>
      </c>
    </row>
    <row r="688" spans="1:7">
      <c r="A688" s="1">
        <v>20150604</v>
      </c>
      <c r="B688" s="1">
        <v>106</v>
      </c>
      <c r="C688" s="2">
        <f t="shared" si="51"/>
        <v>1.0106666666666668</v>
      </c>
      <c r="D688">
        <f t="shared" si="50"/>
        <v>1.1106666666666669</v>
      </c>
      <c r="E688" s="3">
        <v>4.9000000000000004</v>
      </c>
      <c r="F688">
        <f t="shared" si="52"/>
        <v>1.0106666666666668</v>
      </c>
      <c r="G688">
        <f t="shared" si="53"/>
        <v>9.5345911949685554E-3</v>
      </c>
    </row>
    <row r="689" spans="1:7">
      <c r="A689" s="1">
        <v>20150604</v>
      </c>
      <c r="B689" s="1">
        <v>61</v>
      </c>
      <c r="C689" s="2">
        <f t="shared" si="51"/>
        <v>1.0106666666666668</v>
      </c>
      <c r="D689">
        <f t="shared" si="50"/>
        <v>1.1106666666666669</v>
      </c>
      <c r="E689" s="3">
        <v>4.9000000000000004</v>
      </c>
      <c r="F689">
        <f t="shared" si="52"/>
        <v>1.0106666666666668</v>
      </c>
      <c r="G689">
        <f t="shared" si="53"/>
        <v>1.6568306010928964E-2</v>
      </c>
    </row>
    <row r="690" spans="1:7">
      <c r="A690" s="1">
        <v>20150604</v>
      </c>
      <c r="B690" s="1">
        <v>9</v>
      </c>
      <c r="C690" s="2">
        <f t="shared" si="51"/>
        <v>1.0106666666666668</v>
      </c>
      <c r="D690">
        <f t="shared" ref="D690:D753" si="54">0.17*($H$3/12)*E690</f>
        <v>1.1106666666666669</v>
      </c>
      <c r="E690" s="3">
        <v>4.9000000000000004</v>
      </c>
      <c r="F690">
        <f t="shared" si="52"/>
        <v>1.0106666666666668</v>
      </c>
      <c r="G690">
        <f t="shared" si="53"/>
        <v>0.11229629629629631</v>
      </c>
    </row>
    <row r="691" spans="1:7">
      <c r="A691" s="1">
        <v>20150604</v>
      </c>
      <c r="B691" s="1">
        <v>20</v>
      </c>
      <c r="C691" s="2">
        <f t="shared" si="51"/>
        <v>1.0106666666666668</v>
      </c>
      <c r="D691">
        <f t="shared" si="54"/>
        <v>1.1106666666666669</v>
      </c>
      <c r="E691" s="3">
        <v>4.9000000000000004</v>
      </c>
      <c r="F691">
        <f t="shared" si="52"/>
        <v>1.0106666666666668</v>
      </c>
      <c r="G691">
        <f t="shared" si="53"/>
        <v>5.053333333333334E-2</v>
      </c>
    </row>
    <row r="692" spans="1:7">
      <c r="A692" s="1">
        <v>20150604</v>
      </c>
      <c r="B692" s="1">
        <v>108</v>
      </c>
      <c r="C692" s="2">
        <f t="shared" si="51"/>
        <v>2.484</v>
      </c>
      <c r="D692">
        <f t="shared" si="54"/>
        <v>2.5840000000000001</v>
      </c>
      <c r="E692" s="3">
        <v>11.4</v>
      </c>
      <c r="F692">
        <f t="shared" si="52"/>
        <v>2.484</v>
      </c>
      <c r="G692">
        <f t="shared" si="53"/>
        <v>2.3E-2</v>
      </c>
    </row>
    <row r="693" spans="1:7">
      <c r="A693" s="1">
        <v>20150604</v>
      </c>
      <c r="B693" s="1">
        <v>112</v>
      </c>
      <c r="C693" s="2">
        <f t="shared" si="51"/>
        <v>2.484</v>
      </c>
      <c r="D693">
        <f t="shared" si="54"/>
        <v>2.5840000000000001</v>
      </c>
      <c r="E693" s="3">
        <v>11.4</v>
      </c>
      <c r="F693">
        <f t="shared" si="52"/>
        <v>2.484</v>
      </c>
      <c r="G693">
        <f t="shared" si="53"/>
        <v>2.2178571428571429E-2</v>
      </c>
    </row>
    <row r="694" spans="1:7">
      <c r="A694" s="1">
        <v>20150604</v>
      </c>
      <c r="B694" s="1">
        <v>103</v>
      </c>
      <c r="C694" s="2">
        <f t="shared" si="51"/>
        <v>2.484</v>
      </c>
      <c r="D694">
        <f t="shared" si="54"/>
        <v>2.5840000000000001</v>
      </c>
      <c r="E694" s="3">
        <v>11.4</v>
      </c>
      <c r="F694">
        <f t="shared" si="52"/>
        <v>2.484</v>
      </c>
      <c r="G694">
        <f t="shared" si="53"/>
        <v>2.411650485436893E-2</v>
      </c>
    </row>
    <row r="695" spans="1:7">
      <c r="A695" s="1">
        <v>20150604</v>
      </c>
      <c r="B695" s="1">
        <v>109</v>
      </c>
      <c r="C695" s="2">
        <f t="shared" si="51"/>
        <v>2.484</v>
      </c>
      <c r="D695">
        <f t="shared" si="54"/>
        <v>2.5840000000000001</v>
      </c>
      <c r="E695" s="3">
        <v>11.4</v>
      </c>
      <c r="F695">
        <f t="shared" si="52"/>
        <v>2.484</v>
      </c>
      <c r="G695">
        <f t="shared" si="53"/>
        <v>2.2788990825688072E-2</v>
      </c>
    </row>
    <row r="696" spans="1:7">
      <c r="A696" s="1">
        <v>20150604</v>
      </c>
      <c r="B696" s="1">
        <v>88</v>
      </c>
      <c r="C696" s="2">
        <f t="shared" si="51"/>
        <v>2.484</v>
      </c>
      <c r="D696">
        <f t="shared" si="54"/>
        <v>2.5840000000000001</v>
      </c>
      <c r="E696" s="3">
        <v>11.4</v>
      </c>
      <c r="F696">
        <f t="shared" si="52"/>
        <v>2.484</v>
      </c>
      <c r="G696">
        <f t="shared" si="53"/>
        <v>2.8227272727272726E-2</v>
      </c>
    </row>
    <row r="697" spans="1:7">
      <c r="A697" s="1">
        <v>20150604</v>
      </c>
      <c r="B697" s="1">
        <v>27</v>
      </c>
      <c r="C697" s="2">
        <f t="shared" si="51"/>
        <v>1.6679999999999999</v>
      </c>
      <c r="D697">
        <f t="shared" si="54"/>
        <v>1.768</v>
      </c>
      <c r="E697" s="3">
        <v>7.8</v>
      </c>
      <c r="F697">
        <f t="shared" si="52"/>
        <v>1.6679999999999999</v>
      </c>
      <c r="G697">
        <f t="shared" si="53"/>
        <v>6.1777777777777772E-2</v>
      </c>
    </row>
    <row r="698" spans="1:7">
      <c r="A698" s="1">
        <v>20150604</v>
      </c>
      <c r="B698" s="1">
        <v>77</v>
      </c>
      <c r="C698" s="2">
        <f t="shared" si="51"/>
        <v>1.6679999999999999</v>
      </c>
      <c r="D698">
        <f t="shared" si="54"/>
        <v>1.768</v>
      </c>
      <c r="E698" s="3">
        <v>7.8</v>
      </c>
      <c r="F698">
        <f t="shared" si="52"/>
        <v>1.6679999999999999</v>
      </c>
      <c r="G698">
        <f t="shared" si="53"/>
        <v>2.1662337662337661E-2</v>
      </c>
    </row>
    <row r="699" spans="1:7">
      <c r="A699" s="1">
        <v>20150604</v>
      </c>
      <c r="B699" s="1">
        <v>95</v>
      </c>
      <c r="C699" s="2">
        <f t="shared" si="51"/>
        <v>1.6679999999999999</v>
      </c>
      <c r="D699">
        <f t="shared" si="54"/>
        <v>1.768</v>
      </c>
      <c r="E699" s="3">
        <v>7.8</v>
      </c>
      <c r="F699">
        <f t="shared" si="52"/>
        <v>1.6679999999999999</v>
      </c>
      <c r="G699">
        <f t="shared" si="53"/>
        <v>1.7557894736842106E-2</v>
      </c>
    </row>
    <row r="700" spans="1:7">
      <c r="A700" s="1">
        <v>20150604</v>
      </c>
      <c r="B700" s="1">
        <v>99</v>
      </c>
      <c r="C700" s="2">
        <f t="shared" si="51"/>
        <v>1.6679999999999999</v>
      </c>
      <c r="D700">
        <f t="shared" si="54"/>
        <v>1.768</v>
      </c>
      <c r="E700" s="3">
        <v>7.8</v>
      </c>
      <c r="F700">
        <f t="shared" si="52"/>
        <v>1.6679999999999999</v>
      </c>
      <c r="G700">
        <f t="shared" si="53"/>
        <v>1.6848484848484849E-2</v>
      </c>
    </row>
    <row r="701" spans="1:7">
      <c r="A701" s="1">
        <v>20150604</v>
      </c>
      <c r="B701" s="1">
        <v>6</v>
      </c>
      <c r="C701" s="2">
        <f t="shared" si="51"/>
        <v>1.6679999999999999</v>
      </c>
      <c r="D701">
        <f t="shared" si="54"/>
        <v>1.768</v>
      </c>
      <c r="E701" s="3">
        <v>7.8</v>
      </c>
      <c r="F701">
        <f t="shared" si="52"/>
        <v>1.6679999999999999</v>
      </c>
      <c r="G701">
        <f t="shared" si="53"/>
        <v>0.27799999999999997</v>
      </c>
    </row>
    <row r="702" spans="1:7">
      <c r="A702" s="1">
        <v>20150604</v>
      </c>
      <c r="B702" s="1">
        <v>109</v>
      </c>
      <c r="C702" s="2">
        <f t="shared" si="51"/>
        <v>1.4640000000000002</v>
      </c>
      <c r="D702">
        <f t="shared" si="54"/>
        <v>1.5640000000000003</v>
      </c>
      <c r="E702" s="3">
        <v>6.9</v>
      </c>
      <c r="F702">
        <f t="shared" si="52"/>
        <v>1.4640000000000002</v>
      </c>
      <c r="G702">
        <f t="shared" si="53"/>
        <v>1.343119266055046E-2</v>
      </c>
    </row>
    <row r="703" spans="1:7">
      <c r="A703" s="1">
        <v>20150604</v>
      </c>
      <c r="B703" s="1">
        <v>97</v>
      </c>
      <c r="C703" s="2">
        <f t="shared" si="51"/>
        <v>1.4640000000000002</v>
      </c>
      <c r="D703">
        <f t="shared" si="54"/>
        <v>1.5640000000000003</v>
      </c>
      <c r="E703" s="3">
        <v>6.9</v>
      </c>
      <c r="F703">
        <f t="shared" si="52"/>
        <v>1.4640000000000002</v>
      </c>
      <c r="G703">
        <f t="shared" si="53"/>
        <v>1.5092783505154641E-2</v>
      </c>
    </row>
    <row r="704" spans="1:7">
      <c r="A704" s="1">
        <v>20150604</v>
      </c>
      <c r="B704" s="1">
        <v>47</v>
      </c>
      <c r="C704" s="2">
        <f t="shared" si="51"/>
        <v>1.4640000000000002</v>
      </c>
      <c r="D704">
        <f t="shared" si="54"/>
        <v>1.5640000000000003</v>
      </c>
      <c r="E704" s="3">
        <v>6.9</v>
      </c>
      <c r="F704">
        <f t="shared" si="52"/>
        <v>1.4640000000000002</v>
      </c>
      <c r="G704">
        <f t="shared" si="53"/>
        <v>3.114893617021277E-2</v>
      </c>
    </row>
    <row r="705" spans="1:7">
      <c r="A705" s="1">
        <v>20150604</v>
      </c>
      <c r="B705" s="1">
        <v>90</v>
      </c>
      <c r="C705" s="2">
        <f t="shared" si="51"/>
        <v>1.4640000000000002</v>
      </c>
      <c r="D705">
        <f t="shared" si="54"/>
        <v>1.5640000000000003</v>
      </c>
      <c r="E705" s="3">
        <v>6.9</v>
      </c>
      <c r="F705">
        <f t="shared" si="52"/>
        <v>1.4640000000000002</v>
      </c>
      <c r="G705">
        <f t="shared" si="53"/>
        <v>1.6266666666666669E-2</v>
      </c>
    </row>
    <row r="706" spans="1:7">
      <c r="A706" s="1">
        <v>20150604</v>
      </c>
      <c r="B706" s="1">
        <v>48</v>
      </c>
      <c r="C706" s="2">
        <f t="shared" si="51"/>
        <v>1.4640000000000002</v>
      </c>
      <c r="D706">
        <f t="shared" si="54"/>
        <v>1.5640000000000003</v>
      </c>
      <c r="E706" s="3">
        <v>6.9</v>
      </c>
      <c r="F706">
        <f t="shared" si="52"/>
        <v>1.4640000000000002</v>
      </c>
      <c r="G706">
        <f t="shared" si="53"/>
        <v>3.0500000000000003E-2</v>
      </c>
    </row>
    <row r="707" spans="1:7">
      <c r="A707" s="1">
        <v>20150604</v>
      </c>
      <c r="B707" s="1">
        <v>109</v>
      </c>
      <c r="C707" s="2">
        <f t="shared" si="51"/>
        <v>1.8266666666666667</v>
      </c>
      <c r="D707">
        <f t="shared" si="54"/>
        <v>1.9266666666666667</v>
      </c>
      <c r="E707" s="3">
        <v>8.5</v>
      </c>
      <c r="F707">
        <f t="shared" si="52"/>
        <v>1.8266666666666667</v>
      </c>
      <c r="G707">
        <f t="shared" si="53"/>
        <v>1.675840978593272E-2</v>
      </c>
    </row>
    <row r="708" spans="1:7">
      <c r="A708" s="1">
        <v>20150604</v>
      </c>
      <c r="B708" s="1">
        <v>115</v>
      </c>
      <c r="C708" s="2">
        <f t="shared" si="51"/>
        <v>1.8266666666666667</v>
      </c>
      <c r="D708">
        <f t="shared" si="54"/>
        <v>1.9266666666666667</v>
      </c>
      <c r="E708" s="3">
        <v>8.5</v>
      </c>
      <c r="F708">
        <f t="shared" si="52"/>
        <v>1.8266666666666667</v>
      </c>
      <c r="G708">
        <f t="shared" si="53"/>
        <v>1.5884057971014491E-2</v>
      </c>
    </row>
    <row r="709" spans="1:7">
      <c r="A709" s="1">
        <v>20150604</v>
      </c>
      <c r="B709" s="1">
        <v>112</v>
      </c>
      <c r="C709" s="2">
        <f t="shared" si="51"/>
        <v>1.8266666666666667</v>
      </c>
      <c r="D709">
        <f t="shared" si="54"/>
        <v>1.9266666666666667</v>
      </c>
      <c r="E709" s="3">
        <v>8.5</v>
      </c>
      <c r="F709">
        <f t="shared" si="52"/>
        <v>1.8266666666666667</v>
      </c>
      <c r="G709">
        <f t="shared" si="53"/>
        <v>1.6309523809523808E-2</v>
      </c>
    </row>
    <row r="710" spans="1:7">
      <c r="A710" s="1">
        <v>20150604</v>
      </c>
      <c r="B710" s="1">
        <v>114</v>
      </c>
      <c r="C710" s="2">
        <f t="shared" si="51"/>
        <v>1.8266666666666667</v>
      </c>
      <c r="D710">
        <f t="shared" si="54"/>
        <v>1.9266666666666667</v>
      </c>
      <c r="E710" s="3">
        <v>8.5</v>
      </c>
      <c r="F710">
        <f t="shared" si="52"/>
        <v>1.8266666666666667</v>
      </c>
      <c r="G710">
        <f t="shared" si="53"/>
        <v>1.6023391812865499E-2</v>
      </c>
    </row>
    <row r="711" spans="1:7">
      <c r="A711" s="1">
        <v>20150604</v>
      </c>
      <c r="B711" s="1">
        <v>106</v>
      </c>
      <c r="C711" s="2">
        <f t="shared" si="51"/>
        <v>1.8266666666666667</v>
      </c>
      <c r="D711">
        <f t="shared" si="54"/>
        <v>1.9266666666666667</v>
      </c>
      <c r="E711" s="3">
        <v>8.5</v>
      </c>
      <c r="F711">
        <f t="shared" si="52"/>
        <v>1.8266666666666667</v>
      </c>
      <c r="G711">
        <f t="shared" si="53"/>
        <v>1.7232704402515724E-2</v>
      </c>
    </row>
    <row r="712" spans="1:7">
      <c r="A712" s="1">
        <v>20150604</v>
      </c>
      <c r="B712" s="1">
        <v>112</v>
      </c>
      <c r="C712" s="2">
        <f t="shared" si="51"/>
        <v>2.1213333333333337</v>
      </c>
      <c r="D712">
        <f t="shared" si="54"/>
        <v>2.2213333333333338</v>
      </c>
      <c r="E712" s="3">
        <v>9.8000000000000007</v>
      </c>
      <c r="F712">
        <f t="shared" si="52"/>
        <v>2.1213333333333337</v>
      </c>
      <c r="G712">
        <f t="shared" si="53"/>
        <v>1.8940476190476195E-2</v>
      </c>
    </row>
    <row r="713" spans="1:7">
      <c r="A713" s="1">
        <v>20150604</v>
      </c>
      <c r="B713" s="1">
        <v>111</v>
      </c>
      <c r="C713" s="2">
        <f t="shared" si="51"/>
        <v>2.1213333333333337</v>
      </c>
      <c r="D713">
        <f t="shared" si="54"/>
        <v>2.2213333333333338</v>
      </c>
      <c r="E713" s="3">
        <v>9.8000000000000007</v>
      </c>
      <c r="F713">
        <f t="shared" si="52"/>
        <v>2.1213333333333337</v>
      </c>
      <c r="G713">
        <f t="shared" si="53"/>
        <v>1.9111111111111113E-2</v>
      </c>
    </row>
    <row r="714" spans="1:7">
      <c r="A714" s="1">
        <v>20150604</v>
      </c>
      <c r="B714" s="1">
        <v>108</v>
      </c>
      <c r="C714" s="2">
        <f t="shared" si="51"/>
        <v>2.1213333333333337</v>
      </c>
      <c r="D714">
        <f t="shared" si="54"/>
        <v>2.2213333333333338</v>
      </c>
      <c r="E714" s="3">
        <v>9.8000000000000007</v>
      </c>
      <c r="F714">
        <f t="shared" si="52"/>
        <v>2.1213333333333337</v>
      </c>
      <c r="G714">
        <f t="shared" si="53"/>
        <v>1.9641975308641979E-2</v>
      </c>
    </row>
    <row r="715" spans="1:7">
      <c r="A715" s="1">
        <v>20150604</v>
      </c>
      <c r="B715" s="1">
        <v>107</v>
      </c>
      <c r="C715" s="2">
        <f t="shared" si="51"/>
        <v>2.1213333333333337</v>
      </c>
      <c r="D715">
        <f t="shared" si="54"/>
        <v>2.2213333333333338</v>
      </c>
      <c r="E715" s="3">
        <v>9.8000000000000007</v>
      </c>
      <c r="F715">
        <f t="shared" si="52"/>
        <v>2.1213333333333337</v>
      </c>
      <c r="G715">
        <f t="shared" si="53"/>
        <v>1.9825545171339568E-2</v>
      </c>
    </row>
    <row r="716" spans="1:7">
      <c r="A716" s="1">
        <v>20150604</v>
      </c>
      <c r="B716" s="1">
        <v>105</v>
      </c>
      <c r="C716" s="2">
        <f t="shared" si="51"/>
        <v>2.1213333333333337</v>
      </c>
      <c r="D716">
        <f t="shared" si="54"/>
        <v>2.2213333333333338</v>
      </c>
      <c r="E716" s="3">
        <v>9.8000000000000007</v>
      </c>
      <c r="F716">
        <f t="shared" si="52"/>
        <v>2.1213333333333337</v>
      </c>
      <c r="G716">
        <f t="shared" si="53"/>
        <v>2.0203174603174608E-2</v>
      </c>
    </row>
    <row r="717" spans="1:7">
      <c r="A717" s="1">
        <v>20150604</v>
      </c>
      <c r="B717" s="1">
        <v>73</v>
      </c>
      <c r="C717" s="2">
        <f t="shared" si="51"/>
        <v>1.0106666666666668</v>
      </c>
      <c r="D717">
        <f t="shared" si="54"/>
        <v>1.1106666666666669</v>
      </c>
      <c r="E717" s="3">
        <v>4.9000000000000004</v>
      </c>
      <c r="F717">
        <f t="shared" si="52"/>
        <v>1.0106666666666668</v>
      </c>
      <c r="G717">
        <f t="shared" si="53"/>
        <v>1.3844748858447491E-2</v>
      </c>
    </row>
    <row r="718" spans="1:7">
      <c r="A718" s="1">
        <v>20150604</v>
      </c>
      <c r="B718" s="1">
        <v>85</v>
      </c>
      <c r="C718" s="2">
        <f t="shared" si="51"/>
        <v>1.0106666666666668</v>
      </c>
      <c r="D718">
        <f t="shared" si="54"/>
        <v>1.1106666666666669</v>
      </c>
      <c r="E718" s="3">
        <v>4.9000000000000004</v>
      </c>
      <c r="F718">
        <f t="shared" si="52"/>
        <v>1.0106666666666668</v>
      </c>
      <c r="G718">
        <f t="shared" si="53"/>
        <v>1.1890196078431375E-2</v>
      </c>
    </row>
    <row r="719" spans="1:7">
      <c r="A719" s="1">
        <v>20150604</v>
      </c>
      <c r="B719" s="1">
        <v>98</v>
      </c>
      <c r="C719" s="2">
        <f t="shared" si="51"/>
        <v>1.0106666666666668</v>
      </c>
      <c r="D719">
        <f t="shared" si="54"/>
        <v>1.1106666666666669</v>
      </c>
      <c r="E719" s="3">
        <v>4.9000000000000004</v>
      </c>
      <c r="F719">
        <f t="shared" si="52"/>
        <v>1.0106666666666668</v>
      </c>
      <c r="G719">
        <f t="shared" si="53"/>
        <v>1.031292517006803E-2</v>
      </c>
    </row>
    <row r="720" spans="1:7">
      <c r="A720" s="1">
        <v>20150604</v>
      </c>
      <c r="B720" s="1">
        <v>71</v>
      </c>
      <c r="C720" s="2">
        <f t="shared" si="51"/>
        <v>1.0106666666666668</v>
      </c>
      <c r="D720">
        <f t="shared" si="54"/>
        <v>1.1106666666666669</v>
      </c>
      <c r="E720" s="3">
        <v>4.9000000000000004</v>
      </c>
      <c r="F720">
        <f t="shared" si="52"/>
        <v>1.0106666666666668</v>
      </c>
      <c r="G720">
        <f t="shared" si="53"/>
        <v>1.4234741784037561E-2</v>
      </c>
    </row>
    <row r="721" spans="1:7">
      <c r="A721" s="1">
        <v>20150604</v>
      </c>
      <c r="B721" s="1">
        <v>84</v>
      </c>
      <c r="C721" s="2">
        <f t="shared" si="51"/>
        <v>1.0106666666666668</v>
      </c>
      <c r="D721">
        <f t="shared" si="54"/>
        <v>1.1106666666666669</v>
      </c>
      <c r="E721" s="3">
        <v>4.9000000000000004</v>
      </c>
      <c r="F721">
        <f t="shared" si="52"/>
        <v>1.0106666666666668</v>
      </c>
      <c r="G721">
        <f t="shared" si="53"/>
        <v>1.2031746031746034E-2</v>
      </c>
    </row>
    <row r="722" spans="1:7">
      <c r="A722" s="1">
        <v>20150604</v>
      </c>
      <c r="B722" s="1">
        <v>98</v>
      </c>
      <c r="C722" s="2">
        <f t="shared" si="51"/>
        <v>2.484</v>
      </c>
      <c r="D722">
        <f t="shared" si="54"/>
        <v>2.5840000000000001</v>
      </c>
      <c r="E722" s="3">
        <v>11.4</v>
      </c>
      <c r="F722">
        <f t="shared" si="52"/>
        <v>2.484</v>
      </c>
      <c r="G722">
        <f t="shared" si="53"/>
        <v>2.5346938775510204E-2</v>
      </c>
    </row>
    <row r="723" spans="1:7">
      <c r="A723" s="1">
        <v>20150604</v>
      </c>
      <c r="B723" s="1">
        <v>109</v>
      </c>
      <c r="C723" s="2">
        <f t="shared" si="51"/>
        <v>2.484</v>
      </c>
      <c r="D723">
        <f t="shared" si="54"/>
        <v>2.5840000000000001</v>
      </c>
      <c r="E723" s="3">
        <v>11.4</v>
      </c>
      <c r="F723">
        <f t="shared" si="52"/>
        <v>2.484</v>
      </c>
      <c r="G723">
        <f t="shared" si="53"/>
        <v>2.2788990825688072E-2</v>
      </c>
    </row>
    <row r="724" spans="1:7">
      <c r="A724" s="1">
        <v>20150604</v>
      </c>
      <c r="B724" s="1">
        <v>111</v>
      </c>
      <c r="C724" s="2">
        <f t="shared" si="51"/>
        <v>2.484</v>
      </c>
      <c r="D724">
        <f t="shared" si="54"/>
        <v>2.5840000000000001</v>
      </c>
      <c r="E724" s="3">
        <v>11.4</v>
      </c>
      <c r="F724">
        <f t="shared" si="52"/>
        <v>2.484</v>
      </c>
      <c r="G724">
        <f t="shared" si="53"/>
        <v>2.2378378378378378E-2</v>
      </c>
    </row>
    <row r="725" spans="1:7">
      <c r="A725" s="1">
        <v>20150604</v>
      </c>
      <c r="B725" s="1">
        <v>112</v>
      </c>
      <c r="C725" s="2">
        <f t="shared" si="51"/>
        <v>2.484</v>
      </c>
      <c r="D725">
        <f t="shared" si="54"/>
        <v>2.5840000000000001</v>
      </c>
      <c r="E725" s="3">
        <v>11.4</v>
      </c>
      <c r="F725">
        <f t="shared" si="52"/>
        <v>2.484</v>
      </c>
      <c r="G725">
        <f t="shared" si="53"/>
        <v>2.2178571428571429E-2</v>
      </c>
    </row>
    <row r="726" spans="1:7">
      <c r="A726" s="1">
        <v>20150604</v>
      </c>
      <c r="B726" s="1">
        <v>107</v>
      </c>
      <c r="C726" s="2">
        <f t="shared" si="51"/>
        <v>2.484</v>
      </c>
      <c r="D726">
        <f t="shared" si="54"/>
        <v>2.5840000000000001</v>
      </c>
      <c r="E726" s="3">
        <v>11.4</v>
      </c>
      <c r="F726">
        <f t="shared" si="52"/>
        <v>2.484</v>
      </c>
      <c r="G726">
        <f t="shared" si="53"/>
        <v>2.3214953271028037E-2</v>
      </c>
    </row>
    <row r="727" spans="1:7">
      <c r="A727" s="1">
        <v>20150604</v>
      </c>
      <c r="B727" s="1">
        <v>91</v>
      </c>
      <c r="C727" s="2">
        <f t="shared" si="51"/>
        <v>1.6679999999999999</v>
      </c>
      <c r="D727">
        <f t="shared" si="54"/>
        <v>1.768</v>
      </c>
      <c r="E727" s="3">
        <v>7.8</v>
      </c>
      <c r="F727">
        <f t="shared" si="52"/>
        <v>1.6679999999999999</v>
      </c>
      <c r="G727">
        <f t="shared" si="53"/>
        <v>1.8329670329670329E-2</v>
      </c>
    </row>
    <row r="728" spans="1:7">
      <c r="A728" s="1">
        <v>20150604</v>
      </c>
      <c r="B728" s="1">
        <v>111</v>
      </c>
      <c r="C728" s="2">
        <f t="shared" si="51"/>
        <v>1.6679999999999999</v>
      </c>
      <c r="D728">
        <f t="shared" si="54"/>
        <v>1.768</v>
      </c>
      <c r="E728" s="3">
        <v>7.8</v>
      </c>
      <c r="F728">
        <f t="shared" si="52"/>
        <v>1.6679999999999999</v>
      </c>
      <c r="G728">
        <f t="shared" si="53"/>
        <v>1.5027027027027027E-2</v>
      </c>
    </row>
    <row r="729" spans="1:7">
      <c r="A729" s="1">
        <v>20150604</v>
      </c>
      <c r="B729" s="1">
        <v>108</v>
      </c>
      <c r="C729" s="2">
        <f t="shared" si="51"/>
        <v>1.6679999999999999</v>
      </c>
      <c r="D729">
        <f t="shared" si="54"/>
        <v>1.768</v>
      </c>
      <c r="E729" s="3">
        <v>7.8</v>
      </c>
      <c r="F729">
        <f t="shared" si="52"/>
        <v>1.6679999999999999</v>
      </c>
      <c r="G729">
        <f t="shared" si="53"/>
        <v>1.5444444444444443E-2</v>
      </c>
    </row>
    <row r="730" spans="1:7">
      <c r="A730" s="1">
        <v>20150604</v>
      </c>
      <c r="B730" s="1">
        <v>103</v>
      </c>
      <c r="C730" s="2">
        <f t="shared" si="51"/>
        <v>1.6679999999999999</v>
      </c>
      <c r="D730">
        <f t="shared" si="54"/>
        <v>1.768</v>
      </c>
      <c r="E730" s="3">
        <v>7.8</v>
      </c>
      <c r="F730">
        <f t="shared" si="52"/>
        <v>1.6679999999999999</v>
      </c>
      <c r="G730">
        <f t="shared" si="53"/>
        <v>1.6194174757281552E-2</v>
      </c>
    </row>
    <row r="731" spans="1:7">
      <c r="A731" s="1">
        <v>20150604</v>
      </c>
      <c r="B731" s="1">
        <v>22</v>
      </c>
      <c r="C731" s="2">
        <f t="shared" si="51"/>
        <v>1.6679999999999999</v>
      </c>
      <c r="D731">
        <f t="shared" si="54"/>
        <v>1.768</v>
      </c>
      <c r="E731" s="3">
        <v>7.8</v>
      </c>
      <c r="F731">
        <f t="shared" si="52"/>
        <v>1.6679999999999999</v>
      </c>
      <c r="G731">
        <f t="shared" si="53"/>
        <v>7.5818181818181812E-2</v>
      </c>
    </row>
    <row r="732" spans="1:7">
      <c r="A732" s="1">
        <v>20150604</v>
      </c>
      <c r="B732" s="1">
        <v>71</v>
      </c>
      <c r="C732" s="2">
        <f t="shared" si="51"/>
        <v>1.4640000000000002</v>
      </c>
      <c r="D732">
        <f t="shared" si="54"/>
        <v>1.5640000000000003</v>
      </c>
      <c r="E732" s="3">
        <v>6.9</v>
      </c>
      <c r="F732">
        <f t="shared" si="52"/>
        <v>1.4640000000000002</v>
      </c>
      <c r="G732">
        <f t="shared" si="53"/>
        <v>2.0619718309859158E-2</v>
      </c>
    </row>
    <row r="733" spans="1:7">
      <c r="A733" s="1">
        <v>20150604</v>
      </c>
      <c r="B733" s="1">
        <v>104</v>
      </c>
      <c r="C733" s="2">
        <f t="shared" si="51"/>
        <v>1.4640000000000002</v>
      </c>
      <c r="D733">
        <f t="shared" si="54"/>
        <v>1.5640000000000003</v>
      </c>
      <c r="E733" s="3">
        <v>6.9</v>
      </c>
      <c r="F733">
        <f t="shared" si="52"/>
        <v>1.4640000000000002</v>
      </c>
      <c r="G733">
        <f t="shared" si="53"/>
        <v>1.4076923076923079E-2</v>
      </c>
    </row>
    <row r="734" spans="1:7">
      <c r="A734" s="1">
        <v>20150604</v>
      </c>
      <c r="B734" s="1">
        <v>97</v>
      </c>
      <c r="C734" s="2">
        <f t="shared" si="51"/>
        <v>1.4640000000000002</v>
      </c>
      <c r="D734">
        <f t="shared" si="54"/>
        <v>1.5640000000000003</v>
      </c>
      <c r="E734" s="3">
        <v>6.9</v>
      </c>
      <c r="F734">
        <f t="shared" si="52"/>
        <v>1.4640000000000002</v>
      </c>
      <c r="G734">
        <f t="shared" si="53"/>
        <v>1.5092783505154641E-2</v>
      </c>
    </row>
    <row r="735" spans="1:7">
      <c r="A735" s="1">
        <v>20150604</v>
      </c>
      <c r="B735" s="1">
        <v>107</v>
      </c>
      <c r="C735" s="2">
        <f t="shared" si="51"/>
        <v>1.4640000000000002</v>
      </c>
      <c r="D735">
        <f t="shared" si="54"/>
        <v>1.5640000000000003</v>
      </c>
      <c r="E735" s="3">
        <v>6.9</v>
      </c>
      <c r="F735">
        <f t="shared" si="52"/>
        <v>1.4640000000000002</v>
      </c>
      <c r="G735">
        <f t="shared" si="53"/>
        <v>1.3682242990654207E-2</v>
      </c>
    </row>
    <row r="736" spans="1:7">
      <c r="A736" s="1">
        <v>20150604</v>
      </c>
      <c r="B736" s="1">
        <v>87</v>
      </c>
      <c r="C736" s="2">
        <f t="shared" si="51"/>
        <v>1.4640000000000002</v>
      </c>
      <c r="D736">
        <f t="shared" si="54"/>
        <v>1.5640000000000003</v>
      </c>
      <c r="E736" s="3">
        <v>6.9</v>
      </c>
      <c r="F736">
        <f t="shared" si="52"/>
        <v>1.4640000000000002</v>
      </c>
      <c r="G736">
        <f t="shared" si="53"/>
        <v>1.6827586206896554E-2</v>
      </c>
    </row>
    <row r="737" spans="1:7">
      <c r="A737" s="1">
        <v>20150604</v>
      </c>
      <c r="B737" s="1">
        <v>92</v>
      </c>
      <c r="C737" s="2">
        <f t="shared" si="51"/>
        <v>1.8266666666666667</v>
      </c>
      <c r="D737">
        <f t="shared" si="54"/>
        <v>1.9266666666666667</v>
      </c>
      <c r="E737" s="3">
        <v>8.5</v>
      </c>
      <c r="F737">
        <f t="shared" si="52"/>
        <v>1.8266666666666667</v>
      </c>
      <c r="G737">
        <f t="shared" si="53"/>
        <v>1.9855072463768116E-2</v>
      </c>
    </row>
    <row r="738" spans="1:7">
      <c r="A738" s="1">
        <v>20150604</v>
      </c>
      <c r="B738" s="1">
        <v>92</v>
      </c>
      <c r="C738" s="2">
        <f t="shared" si="51"/>
        <v>1.8266666666666667</v>
      </c>
      <c r="D738">
        <f t="shared" si="54"/>
        <v>1.9266666666666667</v>
      </c>
      <c r="E738" s="3">
        <v>8.5</v>
      </c>
      <c r="F738">
        <f t="shared" si="52"/>
        <v>1.8266666666666667</v>
      </c>
      <c r="G738">
        <f t="shared" si="53"/>
        <v>1.9855072463768116E-2</v>
      </c>
    </row>
    <row r="739" spans="1:7">
      <c r="A739" s="1">
        <v>20150604</v>
      </c>
      <c r="B739" s="1">
        <v>94</v>
      </c>
      <c r="C739" s="2">
        <f t="shared" si="51"/>
        <v>1.8266666666666667</v>
      </c>
      <c r="D739">
        <f t="shared" si="54"/>
        <v>1.9266666666666667</v>
      </c>
      <c r="E739" s="3">
        <v>8.5</v>
      </c>
      <c r="F739">
        <f t="shared" si="52"/>
        <v>1.8266666666666667</v>
      </c>
      <c r="G739">
        <f t="shared" si="53"/>
        <v>1.9432624113475176E-2</v>
      </c>
    </row>
    <row r="740" spans="1:7">
      <c r="A740" s="1">
        <v>20150604</v>
      </c>
      <c r="B740" s="1">
        <v>91</v>
      </c>
      <c r="C740" s="2">
        <f t="shared" si="51"/>
        <v>1.8266666666666667</v>
      </c>
      <c r="D740">
        <f t="shared" si="54"/>
        <v>1.9266666666666667</v>
      </c>
      <c r="E740" s="3">
        <v>8.5</v>
      </c>
      <c r="F740">
        <f t="shared" si="52"/>
        <v>1.8266666666666667</v>
      </c>
      <c r="G740">
        <f t="shared" si="53"/>
        <v>2.0073260073260074E-2</v>
      </c>
    </row>
    <row r="741" spans="1:7">
      <c r="A741" s="1">
        <v>20150604</v>
      </c>
      <c r="B741" s="1">
        <v>92</v>
      </c>
      <c r="C741" s="2">
        <f t="shared" si="51"/>
        <v>1.8266666666666667</v>
      </c>
      <c r="D741">
        <f t="shared" si="54"/>
        <v>1.9266666666666667</v>
      </c>
      <c r="E741" s="3">
        <v>8.5</v>
      </c>
      <c r="F741">
        <f t="shared" si="52"/>
        <v>1.8266666666666667</v>
      </c>
      <c r="G741">
        <f t="shared" si="53"/>
        <v>1.9855072463768116E-2</v>
      </c>
    </row>
    <row r="742" spans="1:7">
      <c r="A742" s="1">
        <v>20150604</v>
      </c>
      <c r="B742" s="1">
        <v>95</v>
      </c>
      <c r="C742" s="2">
        <f t="shared" ref="C742:C766" si="55">D742-$S$39</f>
        <v>2.1213333333333337</v>
      </c>
      <c r="D742">
        <f t="shared" si="54"/>
        <v>2.2213333333333338</v>
      </c>
      <c r="E742" s="3">
        <v>9.8000000000000007</v>
      </c>
      <c r="F742">
        <f t="shared" si="52"/>
        <v>2.1213333333333337</v>
      </c>
      <c r="G742">
        <f t="shared" si="53"/>
        <v>2.2329824561403512E-2</v>
      </c>
    </row>
    <row r="743" spans="1:7">
      <c r="A743" s="1">
        <v>20150604</v>
      </c>
      <c r="B743" s="1">
        <v>94</v>
      </c>
      <c r="C743" s="2">
        <f t="shared" si="55"/>
        <v>2.1213333333333337</v>
      </c>
      <c r="D743">
        <f t="shared" si="54"/>
        <v>2.2213333333333338</v>
      </c>
      <c r="E743" s="3">
        <v>9.8000000000000007</v>
      </c>
      <c r="F743">
        <f t="shared" si="52"/>
        <v>2.1213333333333337</v>
      </c>
      <c r="G743">
        <f t="shared" si="53"/>
        <v>2.2567375886524826E-2</v>
      </c>
    </row>
    <row r="744" spans="1:7">
      <c r="A744" s="1">
        <v>20150604</v>
      </c>
      <c r="B744" s="1">
        <v>86</v>
      </c>
      <c r="C744" s="2">
        <f t="shared" si="55"/>
        <v>2.1213333333333337</v>
      </c>
      <c r="D744">
        <f t="shared" si="54"/>
        <v>2.2213333333333338</v>
      </c>
      <c r="E744" s="3">
        <v>9.8000000000000007</v>
      </c>
      <c r="F744">
        <f t="shared" si="52"/>
        <v>2.1213333333333337</v>
      </c>
      <c r="G744">
        <f t="shared" si="53"/>
        <v>2.466666666666667E-2</v>
      </c>
    </row>
    <row r="745" spans="1:7">
      <c r="A745" s="1">
        <v>20150604</v>
      </c>
      <c r="B745" s="1">
        <v>93</v>
      </c>
      <c r="C745" s="2">
        <f t="shared" si="55"/>
        <v>2.1213333333333337</v>
      </c>
      <c r="D745">
        <f t="shared" si="54"/>
        <v>2.2213333333333338</v>
      </c>
      <c r="E745" s="3">
        <v>9.8000000000000007</v>
      </c>
      <c r="F745">
        <f t="shared" ref="F745:F808" si="56">C745</f>
        <v>2.1213333333333337</v>
      </c>
      <c r="G745">
        <f t="shared" ref="G745:G808" si="57">F745/B745</f>
        <v>2.2810035842293911E-2</v>
      </c>
    </row>
    <row r="746" spans="1:7">
      <c r="A746" s="1">
        <v>20150604</v>
      </c>
      <c r="B746" s="1">
        <v>91</v>
      </c>
      <c r="C746" s="2">
        <f t="shared" si="55"/>
        <v>2.1213333333333337</v>
      </c>
      <c r="D746">
        <f t="shared" si="54"/>
        <v>2.2213333333333338</v>
      </c>
      <c r="E746" s="3">
        <v>9.8000000000000007</v>
      </c>
      <c r="F746">
        <f t="shared" si="56"/>
        <v>2.1213333333333337</v>
      </c>
      <c r="G746">
        <f t="shared" si="57"/>
        <v>2.3311355311355315E-2</v>
      </c>
    </row>
    <row r="747" spans="1:7">
      <c r="A747" s="1">
        <v>20150604</v>
      </c>
      <c r="B747" s="1">
        <v>60</v>
      </c>
      <c r="C747" s="2">
        <f t="shared" si="55"/>
        <v>1.0106666666666668</v>
      </c>
      <c r="D747">
        <f t="shared" si="54"/>
        <v>1.1106666666666669</v>
      </c>
      <c r="E747" s="3">
        <v>4.9000000000000004</v>
      </c>
      <c r="F747">
        <f t="shared" si="56"/>
        <v>1.0106666666666668</v>
      </c>
      <c r="G747">
        <f t="shared" si="57"/>
        <v>1.6844444444444447E-2</v>
      </c>
    </row>
    <row r="748" spans="1:7">
      <c r="A748" s="1">
        <v>20150604</v>
      </c>
      <c r="B748" s="1">
        <v>93</v>
      </c>
      <c r="C748" s="2">
        <f t="shared" si="55"/>
        <v>1.0106666666666668</v>
      </c>
      <c r="D748">
        <f t="shared" si="54"/>
        <v>1.1106666666666669</v>
      </c>
      <c r="E748" s="3">
        <v>4.9000000000000004</v>
      </c>
      <c r="F748">
        <f t="shared" si="56"/>
        <v>1.0106666666666668</v>
      </c>
      <c r="G748">
        <f t="shared" si="57"/>
        <v>1.0867383512544805E-2</v>
      </c>
    </row>
    <row r="749" spans="1:7">
      <c r="A749" s="1">
        <v>20150604</v>
      </c>
      <c r="B749" s="1">
        <v>76</v>
      </c>
      <c r="C749" s="2">
        <f t="shared" si="55"/>
        <v>1.0106666666666668</v>
      </c>
      <c r="D749">
        <f t="shared" si="54"/>
        <v>1.1106666666666669</v>
      </c>
      <c r="E749" s="3">
        <v>4.9000000000000004</v>
      </c>
      <c r="F749">
        <f t="shared" si="56"/>
        <v>1.0106666666666668</v>
      </c>
      <c r="G749">
        <f t="shared" si="57"/>
        <v>1.329824561403509E-2</v>
      </c>
    </row>
    <row r="750" spans="1:7">
      <c r="A750" s="1">
        <v>20150604</v>
      </c>
      <c r="B750" s="1">
        <v>60</v>
      </c>
      <c r="C750" s="2">
        <f t="shared" si="55"/>
        <v>1.0106666666666668</v>
      </c>
      <c r="D750">
        <f t="shared" si="54"/>
        <v>1.1106666666666669</v>
      </c>
      <c r="E750" s="3">
        <v>4.9000000000000004</v>
      </c>
      <c r="F750">
        <f t="shared" si="56"/>
        <v>1.0106666666666668</v>
      </c>
      <c r="G750">
        <f t="shared" si="57"/>
        <v>1.6844444444444447E-2</v>
      </c>
    </row>
    <row r="751" spans="1:7">
      <c r="A751" s="1">
        <v>20150604</v>
      </c>
      <c r="B751" s="1">
        <v>54</v>
      </c>
      <c r="C751" s="2">
        <f t="shared" si="55"/>
        <v>1.0106666666666668</v>
      </c>
      <c r="D751">
        <f t="shared" si="54"/>
        <v>1.1106666666666669</v>
      </c>
      <c r="E751" s="3">
        <v>4.9000000000000004</v>
      </c>
      <c r="F751">
        <f t="shared" si="56"/>
        <v>1.0106666666666668</v>
      </c>
      <c r="G751">
        <f t="shared" si="57"/>
        <v>1.8716049382716052E-2</v>
      </c>
    </row>
    <row r="752" spans="1:7">
      <c r="A752" s="1">
        <v>20150604</v>
      </c>
      <c r="B752" s="1">
        <v>91</v>
      </c>
      <c r="C752" s="2">
        <f t="shared" si="55"/>
        <v>2.484</v>
      </c>
      <c r="D752">
        <f t="shared" si="54"/>
        <v>2.5840000000000001</v>
      </c>
      <c r="E752" s="3">
        <v>11.4</v>
      </c>
      <c r="F752">
        <f t="shared" si="56"/>
        <v>2.484</v>
      </c>
      <c r="G752">
        <f t="shared" si="57"/>
        <v>2.7296703296703296E-2</v>
      </c>
    </row>
    <row r="753" spans="1:7">
      <c r="A753" s="1">
        <v>20150604</v>
      </c>
      <c r="B753" s="1">
        <v>90</v>
      </c>
      <c r="C753" s="2">
        <f t="shared" si="55"/>
        <v>2.484</v>
      </c>
      <c r="D753">
        <f t="shared" si="54"/>
        <v>2.5840000000000001</v>
      </c>
      <c r="E753" s="3">
        <v>11.4</v>
      </c>
      <c r="F753">
        <f t="shared" si="56"/>
        <v>2.484</v>
      </c>
      <c r="G753">
        <f t="shared" si="57"/>
        <v>2.76E-2</v>
      </c>
    </row>
    <row r="754" spans="1:7">
      <c r="A754" s="1">
        <v>20150604</v>
      </c>
      <c r="B754" s="1">
        <v>76</v>
      </c>
      <c r="C754" s="2">
        <f t="shared" si="55"/>
        <v>2.484</v>
      </c>
      <c r="D754">
        <f t="shared" ref="D754:D817" si="58">0.17*($H$3/12)*E754</f>
        <v>2.5840000000000001</v>
      </c>
      <c r="E754" s="3">
        <v>11.4</v>
      </c>
      <c r="F754">
        <f t="shared" si="56"/>
        <v>2.484</v>
      </c>
      <c r="G754">
        <f t="shared" si="57"/>
        <v>3.2684210526315788E-2</v>
      </c>
    </row>
    <row r="755" spans="1:7">
      <c r="A755" s="1">
        <v>20150604</v>
      </c>
      <c r="B755" s="1">
        <v>91</v>
      </c>
      <c r="C755" s="2">
        <f t="shared" si="55"/>
        <v>2.484</v>
      </c>
      <c r="D755">
        <f t="shared" si="58"/>
        <v>2.5840000000000001</v>
      </c>
      <c r="E755" s="3">
        <v>11.4</v>
      </c>
      <c r="F755">
        <f t="shared" si="56"/>
        <v>2.484</v>
      </c>
      <c r="G755">
        <f t="shared" si="57"/>
        <v>2.7296703296703296E-2</v>
      </c>
    </row>
    <row r="756" spans="1:7">
      <c r="A756" s="1">
        <v>20150604</v>
      </c>
      <c r="B756" s="1">
        <v>92</v>
      </c>
      <c r="C756" s="2">
        <f t="shared" si="55"/>
        <v>2.484</v>
      </c>
      <c r="D756">
        <f t="shared" si="58"/>
        <v>2.5840000000000001</v>
      </c>
      <c r="E756" s="3">
        <v>11.4</v>
      </c>
      <c r="F756">
        <f t="shared" si="56"/>
        <v>2.484</v>
      </c>
      <c r="G756">
        <f t="shared" si="57"/>
        <v>2.7E-2</v>
      </c>
    </row>
    <row r="757" spans="1:7">
      <c r="A757" s="1">
        <v>20150604</v>
      </c>
      <c r="B757" s="1">
        <v>52</v>
      </c>
      <c r="C757" s="2">
        <f t="shared" si="55"/>
        <v>1.6679999999999999</v>
      </c>
      <c r="D757">
        <f t="shared" si="58"/>
        <v>1.768</v>
      </c>
      <c r="E757" s="3">
        <v>7.8</v>
      </c>
      <c r="F757">
        <f t="shared" si="56"/>
        <v>1.6679999999999999</v>
      </c>
      <c r="G757">
        <f t="shared" si="57"/>
        <v>3.2076923076923072E-2</v>
      </c>
    </row>
    <row r="758" spans="1:7">
      <c r="A758" s="1">
        <v>20150604</v>
      </c>
      <c r="B758" s="1">
        <v>55</v>
      </c>
      <c r="C758" s="2">
        <f t="shared" si="55"/>
        <v>1.6679999999999999</v>
      </c>
      <c r="D758">
        <f t="shared" si="58"/>
        <v>1.768</v>
      </c>
      <c r="E758" s="3">
        <v>7.8</v>
      </c>
      <c r="F758">
        <f t="shared" si="56"/>
        <v>1.6679999999999999</v>
      </c>
      <c r="G758">
        <f t="shared" si="57"/>
        <v>3.0327272727272727E-2</v>
      </c>
    </row>
    <row r="759" spans="1:7">
      <c r="A759" s="1">
        <v>20150604</v>
      </c>
      <c r="B759" s="1">
        <v>87</v>
      </c>
      <c r="C759" s="2">
        <f t="shared" si="55"/>
        <v>1.6679999999999999</v>
      </c>
      <c r="D759">
        <f t="shared" si="58"/>
        <v>1.768</v>
      </c>
      <c r="E759" s="3">
        <v>7.8</v>
      </c>
      <c r="F759">
        <f t="shared" si="56"/>
        <v>1.6679999999999999</v>
      </c>
      <c r="G759">
        <f t="shared" si="57"/>
        <v>1.9172413793103447E-2</v>
      </c>
    </row>
    <row r="760" spans="1:7">
      <c r="A760" s="1">
        <v>20150604</v>
      </c>
      <c r="B760" s="1">
        <v>83</v>
      </c>
      <c r="C760" s="2">
        <f t="shared" si="55"/>
        <v>1.6679999999999999</v>
      </c>
      <c r="D760">
        <f t="shared" si="58"/>
        <v>1.768</v>
      </c>
      <c r="E760" s="3">
        <v>7.8</v>
      </c>
      <c r="F760">
        <f t="shared" si="56"/>
        <v>1.6679999999999999</v>
      </c>
      <c r="G760">
        <f t="shared" si="57"/>
        <v>2.0096385542168672E-2</v>
      </c>
    </row>
    <row r="761" spans="1:7">
      <c r="A761" s="1">
        <v>20150604</v>
      </c>
      <c r="B761" s="1">
        <v>69</v>
      </c>
      <c r="C761" s="2">
        <f t="shared" si="55"/>
        <v>1.6679999999999999</v>
      </c>
      <c r="D761">
        <f t="shared" si="58"/>
        <v>1.768</v>
      </c>
      <c r="E761" s="3">
        <v>7.8</v>
      </c>
      <c r="F761">
        <f t="shared" si="56"/>
        <v>1.6679999999999999</v>
      </c>
      <c r="G761">
        <f t="shared" si="57"/>
        <v>2.4173913043478261E-2</v>
      </c>
    </row>
    <row r="762" spans="1:7">
      <c r="A762" s="1">
        <v>20150604</v>
      </c>
      <c r="B762" s="1">
        <v>86</v>
      </c>
      <c r="C762" s="2">
        <f t="shared" si="55"/>
        <v>1.4640000000000002</v>
      </c>
      <c r="D762">
        <f t="shared" si="58"/>
        <v>1.5640000000000003</v>
      </c>
      <c r="E762" s="3">
        <v>6.9</v>
      </c>
      <c r="F762">
        <f t="shared" si="56"/>
        <v>1.4640000000000002</v>
      </c>
      <c r="G762">
        <f t="shared" si="57"/>
        <v>1.7023255813953489E-2</v>
      </c>
    </row>
    <row r="763" spans="1:7">
      <c r="A763" s="1">
        <v>20150604</v>
      </c>
      <c r="B763" s="1">
        <v>65</v>
      </c>
      <c r="C763" s="2">
        <f t="shared" si="55"/>
        <v>1.4640000000000002</v>
      </c>
      <c r="D763">
        <f t="shared" si="58"/>
        <v>1.5640000000000003</v>
      </c>
      <c r="E763" s="3">
        <v>6.9</v>
      </c>
      <c r="F763">
        <f t="shared" si="56"/>
        <v>1.4640000000000002</v>
      </c>
      <c r="G763">
        <f t="shared" si="57"/>
        <v>2.2523076923076927E-2</v>
      </c>
    </row>
    <row r="764" spans="1:7">
      <c r="A764" s="1">
        <v>20150604</v>
      </c>
      <c r="B764" s="1">
        <v>82</v>
      </c>
      <c r="C764" s="2">
        <f t="shared" si="55"/>
        <v>1.4640000000000002</v>
      </c>
      <c r="D764">
        <f t="shared" si="58"/>
        <v>1.5640000000000003</v>
      </c>
      <c r="E764" s="3">
        <v>6.9</v>
      </c>
      <c r="F764">
        <f t="shared" si="56"/>
        <v>1.4640000000000002</v>
      </c>
      <c r="G764">
        <f t="shared" si="57"/>
        <v>1.7853658536585368E-2</v>
      </c>
    </row>
    <row r="765" spans="1:7">
      <c r="A765" s="1">
        <v>20150604</v>
      </c>
      <c r="B765" s="1">
        <v>82</v>
      </c>
      <c r="C765" s="2">
        <f t="shared" si="55"/>
        <v>1.4640000000000002</v>
      </c>
      <c r="D765">
        <f t="shared" si="58"/>
        <v>1.5640000000000003</v>
      </c>
      <c r="E765" s="3">
        <v>6.9</v>
      </c>
      <c r="F765">
        <f t="shared" si="56"/>
        <v>1.4640000000000002</v>
      </c>
      <c r="G765">
        <f t="shared" si="57"/>
        <v>1.7853658536585368E-2</v>
      </c>
    </row>
    <row r="766" spans="1:7">
      <c r="A766" s="1">
        <v>20150604</v>
      </c>
      <c r="B766" s="1">
        <v>75</v>
      </c>
      <c r="C766" s="2">
        <f t="shared" si="55"/>
        <v>1.4640000000000002</v>
      </c>
      <c r="D766">
        <f t="shared" si="58"/>
        <v>1.5640000000000003</v>
      </c>
      <c r="E766" s="3">
        <v>6.9</v>
      </c>
      <c r="F766">
        <f t="shared" si="56"/>
        <v>1.4640000000000002</v>
      </c>
      <c r="G766">
        <f t="shared" si="57"/>
        <v>1.9520000000000003E-2</v>
      </c>
    </row>
    <row r="767" spans="1:7">
      <c r="A767" s="1">
        <v>20150613</v>
      </c>
      <c r="B767" s="1">
        <v>47</v>
      </c>
      <c r="C767" s="2">
        <f>D767-$S$48</f>
        <v>3.461333333333334</v>
      </c>
      <c r="D767">
        <f t="shared" si="58"/>
        <v>4.2613333333333339</v>
      </c>
      <c r="E767" s="3">
        <v>18.8</v>
      </c>
      <c r="F767">
        <f t="shared" si="56"/>
        <v>3.461333333333334</v>
      </c>
      <c r="G767">
        <f t="shared" si="57"/>
        <v>7.3645390070921996E-2</v>
      </c>
    </row>
    <row r="768" spans="1:7">
      <c r="A768" s="1">
        <v>20150613</v>
      </c>
      <c r="B768" s="1">
        <v>15</v>
      </c>
      <c r="C768" s="2">
        <f t="shared" ref="C768:C831" si="59">D768-$S$48</f>
        <v>3.461333333333334</v>
      </c>
      <c r="D768">
        <f t="shared" si="58"/>
        <v>4.2613333333333339</v>
      </c>
      <c r="E768" s="3">
        <v>18.8</v>
      </c>
      <c r="F768">
        <f t="shared" si="56"/>
        <v>3.461333333333334</v>
      </c>
      <c r="G768">
        <f t="shared" si="57"/>
        <v>0.2307555555555556</v>
      </c>
    </row>
    <row r="769" spans="1:7">
      <c r="A769" s="1">
        <v>20150613</v>
      </c>
      <c r="B769" s="1">
        <v>3</v>
      </c>
      <c r="C769" s="2">
        <f t="shared" si="59"/>
        <v>3.461333333333334</v>
      </c>
      <c r="D769">
        <f t="shared" si="58"/>
        <v>4.2613333333333339</v>
      </c>
      <c r="E769" s="3">
        <v>18.8</v>
      </c>
      <c r="F769">
        <f t="shared" si="56"/>
        <v>3.461333333333334</v>
      </c>
      <c r="G769">
        <f t="shared" si="57"/>
        <v>1.153777777777778</v>
      </c>
    </row>
    <row r="770" spans="1:7">
      <c r="A770" s="1">
        <v>20150613</v>
      </c>
      <c r="B770" s="1">
        <v>59</v>
      </c>
      <c r="C770" s="2">
        <f t="shared" si="59"/>
        <v>3.461333333333334</v>
      </c>
      <c r="D770">
        <f t="shared" si="58"/>
        <v>4.2613333333333339</v>
      </c>
      <c r="E770" s="3">
        <v>18.8</v>
      </c>
      <c r="F770">
        <f t="shared" si="56"/>
        <v>3.461333333333334</v>
      </c>
      <c r="G770">
        <f t="shared" si="57"/>
        <v>5.8666666666666679E-2</v>
      </c>
    </row>
    <row r="771" spans="1:7">
      <c r="A771" s="1">
        <v>20150613</v>
      </c>
      <c r="B771" s="1">
        <v>86</v>
      </c>
      <c r="C771" s="2">
        <f t="shared" si="59"/>
        <v>3.461333333333334</v>
      </c>
      <c r="D771">
        <f t="shared" si="58"/>
        <v>4.2613333333333339</v>
      </c>
      <c r="E771" s="3">
        <v>18.8</v>
      </c>
      <c r="F771">
        <f t="shared" si="56"/>
        <v>3.461333333333334</v>
      </c>
      <c r="G771">
        <f t="shared" si="57"/>
        <v>4.0248062015503884E-2</v>
      </c>
    </row>
    <row r="772" spans="1:7">
      <c r="A772" s="1">
        <v>20150613</v>
      </c>
      <c r="B772" s="1">
        <v>12</v>
      </c>
      <c r="C772" s="2">
        <f t="shared" si="59"/>
        <v>3.4386666666666672</v>
      </c>
      <c r="D772">
        <f t="shared" si="58"/>
        <v>4.238666666666667</v>
      </c>
      <c r="E772" s="3">
        <v>18.7</v>
      </c>
      <c r="F772">
        <f t="shared" si="56"/>
        <v>3.4386666666666672</v>
      </c>
      <c r="G772">
        <f t="shared" si="57"/>
        <v>0.28655555555555562</v>
      </c>
    </row>
    <row r="773" spans="1:7">
      <c r="A773" s="1">
        <v>20150613</v>
      </c>
      <c r="B773" s="1">
        <v>31</v>
      </c>
      <c r="C773" s="2">
        <f t="shared" si="59"/>
        <v>3.4386666666666672</v>
      </c>
      <c r="D773">
        <f t="shared" si="58"/>
        <v>4.238666666666667</v>
      </c>
      <c r="E773" s="3">
        <v>18.7</v>
      </c>
      <c r="F773">
        <f t="shared" si="56"/>
        <v>3.4386666666666672</v>
      </c>
      <c r="G773">
        <f t="shared" si="57"/>
        <v>0.11092473118279572</v>
      </c>
    </row>
    <row r="774" spans="1:7">
      <c r="A774" s="1">
        <v>20150613</v>
      </c>
      <c r="B774" s="1">
        <v>6</v>
      </c>
      <c r="C774" s="2">
        <f t="shared" si="59"/>
        <v>3.4386666666666672</v>
      </c>
      <c r="D774">
        <f t="shared" si="58"/>
        <v>4.238666666666667</v>
      </c>
      <c r="E774" s="3">
        <v>18.7</v>
      </c>
      <c r="F774">
        <f t="shared" si="56"/>
        <v>3.4386666666666672</v>
      </c>
      <c r="G774">
        <f t="shared" si="57"/>
        <v>0.57311111111111124</v>
      </c>
    </row>
    <row r="775" spans="1:7">
      <c r="A775" s="1">
        <v>20150613</v>
      </c>
      <c r="B775" s="1">
        <v>2</v>
      </c>
      <c r="C775" s="2">
        <f t="shared" si="59"/>
        <v>3.4386666666666672</v>
      </c>
      <c r="D775">
        <f t="shared" si="58"/>
        <v>4.238666666666667</v>
      </c>
      <c r="E775" s="3">
        <v>18.7</v>
      </c>
      <c r="F775">
        <f t="shared" si="56"/>
        <v>3.4386666666666672</v>
      </c>
      <c r="G775">
        <f t="shared" si="57"/>
        <v>1.7193333333333336</v>
      </c>
    </row>
    <row r="776" spans="1:7">
      <c r="A776" s="1">
        <v>20150613</v>
      </c>
      <c r="B776" s="1">
        <v>76</v>
      </c>
      <c r="C776" s="2">
        <f t="shared" si="59"/>
        <v>3.4386666666666672</v>
      </c>
      <c r="D776">
        <f t="shared" si="58"/>
        <v>4.238666666666667</v>
      </c>
      <c r="E776" s="3">
        <v>18.7</v>
      </c>
      <c r="F776">
        <f t="shared" si="56"/>
        <v>3.4386666666666672</v>
      </c>
      <c r="G776">
        <f t="shared" si="57"/>
        <v>4.5245614035087728E-2</v>
      </c>
    </row>
    <row r="777" spans="1:7">
      <c r="A777" s="1">
        <v>20150613</v>
      </c>
      <c r="B777" s="1">
        <v>10</v>
      </c>
      <c r="C777" s="2">
        <f t="shared" si="59"/>
        <v>2.214666666666667</v>
      </c>
      <c r="D777">
        <f t="shared" si="58"/>
        <v>3.0146666666666668</v>
      </c>
      <c r="E777" s="3">
        <v>13.3</v>
      </c>
      <c r="F777">
        <f t="shared" si="56"/>
        <v>2.214666666666667</v>
      </c>
      <c r="G777">
        <f t="shared" si="57"/>
        <v>0.2214666666666667</v>
      </c>
    </row>
    <row r="778" spans="1:7">
      <c r="A778" s="1">
        <v>20150613</v>
      </c>
      <c r="B778" s="1">
        <v>8</v>
      </c>
      <c r="C778" s="2">
        <f t="shared" si="59"/>
        <v>2.214666666666667</v>
      </c>
      <c r="D778">
        <f t="shared" si="58"/>
        <v>3.0146666666666668</v>
      </c>
      <c r="E778" s="3">
        <v>13.3</v>
      </c>
      <c r="F778">
        <f t="shared" si="56"/>
        <v>2.214666666666667</v>
      </c>
      <c r="G778">
        <f t="shared" si="57"/>
        <v>0.27683333333333338</v>
      </c>
    </row>
    <row r="779" spans="1:7">
      <c r="A779" s="1">
        <v>20150613</v>
      </c>
      <c r="B779" s="1">
        <v>20</v>
      </c>
      <c r="C779" s="2">
        <f t="shared" si="59"/>
        <v>2.214666666666667</v>
      </c>
      <c r="D779">
        <f t="shared" si="58"/>
        <v>3.0146666666666668</v>
      </c>
      <c r="E779" s="3">
        <v>13.3</v>
      </c>
      <c r="F779">
        <f t="shared" si="56"/>
        <v>2.214666666666667</v>
      </c>
      <c r="G779">
        <f t="shared" si="57"/>
        <v>0.11073333333333335</v>
      </c>
    </row>
    <row r="780" spans="1:7">
      <c r="A780" s="1">
        <v>20150613</v>
      </c>
      <c r="B780" s="1">
        <v>11</v>
      </c>
      <c r="C780" s="2">
        <f t="shared" si="59"/>
        <v>2.214666666666667</v>
      </c>
      <c r="D780">
        <f t="shared" si="58"/>
        <v>3.0146666666666668</v>
      </c>
      <c r="E780" s="3">
        <v>13.3</v>
      </c>
      <c r="F780">
        <f t="shared" si="56"/>
        <v>2.214666666666667</v>
      </c>
      <c r="G780">
        <f t="shared" si="57"/>
        <v>0.20133333333333336</v>
      </c>
    </row>
    <row r="781" spans="1:7">
      <c r="A781" s="1">
        <v>20150613</v>
      </c>
      <c r="B781" s="1">
        <v>8</v>
      </c>
      <c r="C781" s="2">
        <f t="shared" si="59"/>
        <v>2.214666666666667</v>
      </c>
      <c r="D781">
        <f t="shared" si="58"/>
        <v>3.0146666666666668</v>
      </c>
      <c r="E781" s="3">
        <v>13.3</v>
      </c>
      <c r="F781">
        <f t="shared" si="56"/>
        <v>2.214666666666667</v>
      </c>
      <c r="G781">
        <f t="shared" si="57"/>
        <v>0.27683333333333338</v>
      </c>
    </row>
    <row r="782" spans="1:7">
      <c r="A782" s="1">
        <v>20150613</v>
      </c>
      <c r="B782" s="1">
        <v>6</v>
      </c>
      <c r="C782" s="2">
        <f t="shared" si="59"/>
        <v>2.0786666666666669</v>
      </c>
      <c r="D782">
        <f t="shared" si="58"/>
        <v>2.8786666666666667</v>
      </c>
      <c r="E782" s="3">
        <v>12.7</v>
      </c>
      <c r="F782">
        <f t="shared" si="56"/>
        <v>2.0786666666666669</v>
      </c>
      <c r="G782">
        <f t="shared" si="57"/>
        <v>0.3464444444444445</v>
      </c>
    </row>
    <row r="783" spans="1:7">
      <c r="A783" s="1">
        <v>20150613</v>
      </c>
      <c r="B783" s="1">
        <v>11</v>
      </c>
      <c r="C783" s="2">
        <f t="shared" si="59"/>
        <v>2.0786666666666669</v>
      </c>
      <c r="D783">
        <f t="shared" si="58"/>
        <v>2.8786666666666667</v>
      </c>
      <c r="E783" s="3">
        <v>12.7</v>
      </c>
      <c r="F783">
        <f t="shared" si="56"/>
        <v>2.0786666666666669</v>
      </c>
      <c r="G783">
        <f t="shared" si="57"/>
        <v>0.18896969696969698</v>
      </c>
    </row>
    <row r="784" spans="1:7">
      <c r="A784" s="1">
        <v>20150613</v>
      </c>
      <c r="B784" s="1">
        <v>77</v>
      </c>
      <c r="C784" s="2">
        <f t="shared" si="59"/>
        <v>2.0786666666666669</v>
      </c>
      <c r="D784">
        <f t="shared" si="58"/>
        <v>2.8786666666666667</v>
      </c>
      <c r="E784" s="3">
        <v>12.7</v>
      </c>
      <c r="F784">
        <f t="shared" si="56"/>
        <v>2.0786666666666669</v>
      </c>
      <c r="G784">
        <f t="shared" si="57"/>
        <v>2.6995670995671E-2</v>
      </c>
    </row>
    <row r="785" spans="1:7">
      <c r="A785" s="1">
        <v>20150613</v>
      </c>
      <c r="B785" s="1">
        <v>12</v>
      </c>
      <c r="C785" s="2">
        <f t="shared" si="59"/>
        <v>2.0786666666666669</v>
      </c>
      <c r="D785">
        <f t="shared" si="58"/>
        <v>2.8786666666666667</v>
      </c>
      <c r="E785" s="3">
        <v>12.7</v>
      </c>
      <c r="F785">
        <f t="shared" si="56"/>
        <v>2.0786666666666669</v>
      </c>
      <c r="G785">
        <f t="shared" si="57"/>
        <v>0.17322222222222225</v>
      </c>
    </row>
    <row r="786" spans="1:7">
      <c r="A786" s="1">
        <v>20150613</v>
      </c>
      <c r="B786" s="1">
        <v>58</v>
      </c>
      <c r="C786" s="2">
        <f t="shared" si="59"/>
        <v>2.0786666666666669</v>
      </c>
      <c r="D786">
        <f t="shared" si="58"/>
        <v>2.8786666666666667</v>
      </c>
      <c r="E786" s="3">
        <v>12.7</v>
      </c>
      <c r="F786">
        <f t="shared" si="56"/>
        <v>2.0786666666666669</v>
      </c>
      <c r="G786">
        <f t="shared" si="57"/>
        <v>3.583908045977012E-2</v>
      </c>
    </row>
    <row r="787" spans="1:7">
      <c r="A787" s="1">
        <v>20150613</v>
      </c>
      <c r="B787" s="1">
        <v>1</v>
      </c>
      <c r="C787" s="2">
        <f t="shared" si="59"/>
        <v>1.8293333333333333</v>
      </c>
      <c r="D787">
        <f t="shared" si="58"/>
        <v>2.6293333333333333</v>
      </c>
      <c r="E787" s="3">
        <v>11.6</v>
      </c>
      <c r="F787">
        <f t="shared" si="56"/>
        <v>1.8293333333333333</v>
      </c>
      <c r="G787">
        <f t="shared" si="57"/>
        <v>1.8293333333333333</v>
      </c>
    </row>
    <row r="788" spans="1:7">
      <c r="A788" s="1">
        <v>20150613</v>
      </c>
      <c r="B788" s="1">
        <v>5</v>
      </c>
      <c r="C788" s="2">
        <f t="shared" si="59"/>
        <v>1.8293333333333333</v>
      </c>
      <c r="D788">
        <f t="shared" si="58"/>
        <v>2.6293333333333333</v>
      </c>
      <c r="E788" s="3">
        <v>11.6</v>
      </c>
      <c r="F788">
        <f t="shared" si="56"/>
        <v>1.8293333333333333</v>
      </c>
      <c r="G788">
        <f t="shared" si="57"/>
        <v>0.36586666666666667</v>
      </c>
    </row>
    <row r="789" spans="1:7">
      <c r="A789" s="1">
        <v>20150613</v>
      </c>
      <c r="B789" s="1">
        <v>5</v>
      </c>
      <c r="C789" s="2">
        <f t="shared" si="59"/>
        <v>1.8293333333333333</v>
      </c>
      <c r="D789">
        <f t="shared" si="58"/>
        <v>2.6293333333333333</v>
      </c>
      <c r="E789" s="3">
        <v>11.6</v>
      </c>
      <c r="F789">
        <f t="shared" si="56"/>
        <v>1.8293333333333333</v>
      </c>
      <c r="G789">
        <f t="shared" si="57"/>
        <v>0.36586666666666667</v>
      </c>
    </row>
    <row r="790" spans="1:7">
      <c r="A790" s="1">
        <v>20150613</v>
      </c>
      <c r="B790" s="1">
        <v>17</v>
      </c>
      <c r="C790" s="2">
        <f t="shared" si="59"/>
        <v>1.8293333333333333</v>
      </c>
      <c r="D790">
        <f t="shared" si="58"/>
        <v>2.6293333333333333</v>
      </c>
      <c r="E790" s="3">
        <v>11.6</v>
      </c>
      <c r="F790">
        <f t="shared" si="56"/>
        <v>1.8293333333333333</v>
      </c>
      <c r="G790">
        <f t="shared" si="57"/>
        <v>0.1076078431372549</v>
      </c>
    </row>
    <row r="791" spans="1:7">
      <c r="A791" s="1">
        <v>20150613</v>
      </c>
      <c r="B791" s="1">
        <v>3</v>
      </c>
      <c r="C791" s="2">
        <f t="shared" si="59"/>
        <v>1.8293333333333333</v>
      </c>
      <c r="D791">
        <f t="shared" si="58"/>
        <v>2.6293333333333333</v>
      </c>
      <c r="E791" s="3">
        <v>11.6</v>
      </c>
      <c r="F791">
        <f t="shared" si="56"/>
        <v>1.8293333333333333</v>
      </c>
      <c r="G791">
        <f t="shared" si="57"/>
        <v>0.60977777777777775</v>
      </c>
    </row>
    <row r="792" spans="1:7">
      <c r="A792" s="1">
        <v>20150613</v>
      </c>
      <c r="B792" s="1">
        <v>93</v>
      </c>
      <c r="C792" s="2">
        <f t="shared" si="59"/>
        <v>2.8040000000000003</v>
      </c>
      <c r="D792">
        <f t="shared" si="58"/>
        <v>3.6040000000000005</v>
      </c>
      <c r="E792" s="3">
        <v>15.9</v>
      </c>
      <c r="F792">
        <f t="shared" si="56"/>
        <v>2.8040000000000003</v>
      </c>
      <c r="G792">
        <f t="shared" si="57"/>
        <v>3.0150537634408604E-2</v>
      </c>
    </row>
    <row r="793" spans="1:7">
      <c r="A793" s="1">
        <v>20150613</v>
      </c>
      <c r="B793" s="1">
        <v>106</v>
      </c>
      <c r="C793" s="2">
        <f t="shared" si="59"/>
        <v>2.8040000000000003</v>
      </c>
      <c r="D793">
        <f t="shared" si="58"/>
        <v>3.6040000000000005</v>
      </c>
      <c r="E793" s="3">
        <v>15.9</v>
      </c>
      <c r="F793">
        <f t="shared" si="56"/>
        <v>2.8040000000000003</v>
      </c>
      <c r="G793">
        <f t="shared" si="57"/>
        <v>2.6452830188679249E-2</v>
      </c>
    </row>
    <row r="794" spans="1:7">
      <c r="A794" s="1">
        <v>20150613</v>
      </c>
      <c r="B794" s="1">
        <v>104</v>
      </c>
      <c r="C794" s="2">
        <f t="shared" si="59"/>
        <v>2.8040000000000003</v>
      </c>
      <c r="D794">
        <f t="shared" si="58"/>
        <v>3.6040000000000005</v>
      </c>
      <c r="E794" s="3">
        <v>15.9</v>
      </c>
      <c r="F794">
        <f t="shared" si="56"/>
        <v>2.8040000000000003</v>
      </c>
      <c r="G794">
        <f t="shared" si="57"/>
        <v>2.6961538461538464E-2</v>
      </c>
    </row>
    <row r="795" spans="1:7">
      <c r="A795" s="1">
        <v>20150613</v>
      </c>
      <c r="B795" s="1">
        <v>100</v>
      </c>
      <c r="C795" s="2">
        <f t="shared" si="59"/>
        <v>2.8040000000000003</v>
      </c>
      <c r="D795">
        <f t="shared" si="58"/>
        <v>3.6040000000000005</v>
      </c>
      <c r="E795" s="3">
        <v>15.9</v>
      </c>
      <c r="F795">
        <f t="shared" si="56"/>
        <v>2.8040000000000003</v>
      </c>
      <c r="G795">
        <f t="shared" si="57"/>
        <v>2.8040000000000002E-2</v>
      </c>
    </row>
    <row r="796" spans="1:7">
      <c r="A796" s="1">
        <v>20150613</v>
      </c>
      <c r="B796" s="1">
        <v>105</v>
      </c>
      <c r="C796" s="2">
        <f t="shared" si="59"/>
        <v>2.8040000000000003</v>
      </c>
      <c r="D796">
        <f t="shared" si="58"/>
        <v>3.6040000000000005</v>
      </c>
      <c r="E796" s="3">
        <v>15.9</v>
      </c>
      <c r="F796">
        <f t="shared" si="56"/>
        <v>2.8040000000000003</v>
      </c>
      <c r="G796">
        <f t="shared" si="57"/>
        <v>2.6704761904761908E-2</v>
      </c>
    </row>
    <row r="797" spans="1:7">
      <c r="A797" s="1">
        <v>20150613</v>
      </c>
      <c r="B797" s="1">
        <v>99</v>
      </c>
      <c r="C797" s="2">
        <f t="shared" si="59"/>
        <v>3.461333333333334</v>
      </c>
      <c r="D797">
        <f t="shared" si="58"/>
        <v>4.2613333333333339</v>
      </c>
      <c r="E797" s="3">
        <v>18.8</v>
      </c>
      <c r="F797">
        <f t="shared" si="56"/>
        <v>3.461333333333334</v>
      </c>
      <c r="G797">
        <f t="shared" si="57"/>
        <v>3.4962962962962973E-2</v>
      </c>
    </row>
    <row r="798" spans="1:7">
      <c r="A798" s="1">
        <v>20150613</v>
      </c>
      <c r="B798" s="1">
        <v>99</v>
      </c>
      <c r="C798" s="2">
        <f t="shared" si="59"/>
        <v>3.461333333333334</v>
      </c>
      <c r="D798">
        <f t="shared" si="58"/>
        <v>4.2613333333333339</v>
      </c>
      <c r="E798" s="3">
        <v>18.8</v>
      </c>
      <c r="F798">
        <f t="shared" si="56"/>
        <v>3.461333333333334</v>
      </c>
      <c r="G798">
        <f t="shared" si="57"/>
        <v>3.4962962962962973E-2</v>
      </c>
    </row>
    <row r="799" spans="1:7">
      <c r="A799" s="1">
        <v>20150613</v>
      </c>
      <c r="B799" s="1">
        <v>63</v>
      </c>
      <c r="C799" s="2">
        <f t="shared" si="59"/>
        <v>3.461333333333334</v>
      </c>
      <c r="D799">
        <f t="shared" si="58"/>
        <v>4.2613333333333339</v>
      </c>
      <c r="E799" s="3">
        <v>18.8</v>
      </c>
      <c r="F799">
        <f t="shared" si="56"/>
        <v>3.461333333333334</v>
      </c>
      <c r="G799">
        <f t="shared" si="57"/>
        <v>5.4941798941798951E-2</v>
      </c>
    </row>
    <row r="800" spans="1:7">
      <c r="A800" s="1">
        <v>20150613</v>
      </c>
      <c r="B800" s="1">
        <v>87</v>
      </c>
      <c r="C800" s="2">
        <f t="shared" si="59"/>
        <v>3.461333333333334</v>
      </c>
      <c r="D800">
        <f t="shared" si="58"/>
        <v>4.2613333333333339</v>
      </c>
      <c r="E800" s="3">
        <v>18.8</v>
      </c>
      <c r="F800">
        <f t="shared" si="56"/>
        <v>3.461333333333334</v>
      </c>
      <c r="G800">
        <f t="shared" si="57"/>
        <v>3.9785440613026829E-2</v>
      </c>
    </row>
    <row r="801" spans="1:7">
      <c r="A801" s="1">
        <v>20150613</v>
      </c>
      <c r="B801" s="1">
        <v>55</v>
      </c>
      <c r="C801" s="2">
        <f t="shared" si="59"/>
        <v>3.461333333333334</v>
      </c>
      <c r="D801">
        <f t="shared" si="58"/>
        <v>4.2613333333333339</v>
      </c>
      <c r="E801" s="3">
        <v>18.8</v>
      </c>
      <c r="F801">
        <f t="shared" si="56"/>
        <v>3.461333333333334</v>
      </c>
      <c r="G801">
        <f t="shared" si="57"/>
        <v>6.2933333333333341E-2</v>
      </c>
    </row>
    <row r="802" spans="1:7">
      <c r="A802" s="1">
        <v>20150613</v>
      </c>
      <c r="B802" s="1">
        <v>31</v>
      </c>
      <c r="C802" s="2">
        <f t="shared" si="59"/>
        <v>3.4386666666666672</v>
      </c>
      <c r="D802">
        <f t="shared" si="58"/>
        <v>4.238666666666667</v>
      </c>
      <c r="E802" s="3">
        <v>18.7</v>
      </c>
      <c r="F802">
        <f t="shared" si="56"/>
        <v>3.4386666666666672</v>
      </c>
      <c r="G802">
        <f t="shared" si="57"/>
        <v>0.11092473118279572</v>
      </c>
    </row>
    <row r="803" spans="1:7">
      <c r="A803" s="1">
        <v>20150613</v>
      </c>
      <c r="B803" s="1">
        <v>97</v>
      </c>
      <c r="C803" s="2">
        <f t="shared" si="59"/>
        <v>3.4386666666666672</v>
      </c>
      <c r="D803">
        <f t="shared" si="58"/>
        <v>4.238666666666667</v>
      </c>
      <c r="E803" s="3">
        <v>18.7</v>
      </c>
      <c r="F803">
        <f t="shared" si="56"/>
        <v>3.4386666666666672</v>
      </c>
      <c r="G803">
        <f t="shared" si="57"/>
        <v>3.5450171821305845E-2</v>
      </c>
    </row>
    <row r="804" spans="1:7">
      <c r="A804" s="1">
        <v>20150613</v>
      </c>
      <c r="B804" s="1">
        <v>31</v>
      </c>
      <c r="C804" s="2">
        <f t="shared" si="59"/>
        <v>3.4386666666666672</v>
      </c>
      <c r="D804">
        <f t="shared" si="58"/>
        <v>4.238666666666667</v>
      </c>
      <c r="E804" s="3">
        <v>18.7</v>
      </c>
      <c r="F804">
        <f t="shared" si="56"/>
        <v>3.4386666666666672</v>
      </c>
      <c r="G804">
        <f t="shared" si="57"/>
        <v>0.11092473118279572</v>
      </c>
    </row>
    <row r="805" spans="1:7">
      <c r="A805" s="1">
        <v>20150613</v>
      </c>
      <c r="B805" s="1">
        <v>15</v>
      </c>
      <c r="C805" s="2">
        <f t="shared" si="59"/>
        <v>3.4386666666666672</v>
      </c>
      <c r="D805">
        <f t="shared" si="58"/>
        <v>4.238666666666667</v>
      </c>
      <c r="E805" s="3">
        <v>18.7</v>
      </c>
      <c r="F805">
        <f t="shared" si="56"/>
        <v>3.4386666666666672</v>
      </c>
      <c r="G805">
        <f t="shared" si="57"/>
        <v>0.22924444444444447</v>
      </c>
    </row>
    <row r="806" spans="1:7">
      <c r="A806" s="1">
        <v>20150613</v>
      </c>
      <c r="B806" s="1">
        <v>30</v>
      </c>
      <c r="C806" s="2">
        <f t="shared" si="59"/>
        <v>3.4386666666666672</v>
      </c>
      <c r="D806">
        <f t="shared" si="58"/>
        <v>4.238666666666667</v>
      </c>
      <c r="E806" s="3">
        <v>18.7</v>
      </c>
      <c r="F806">
        <f t="shared" si="56"/>
        <v>3.4386666666666672</v>
      </c>
      <c r="G806">
        <f t="shared" si="57"/>
        <v>0.11462222222222224</v>
      </c>
    </row>
    <row r="807" spans="1:7">
      <c r="A807" s="1">
        <v>20150613</v>
      </c>
      <c r="B807" s="1">
        <v>27</v>
      </c>
      <c r="C807" s="2">
        <f t="shared" si="59"/>
        <v>2.214666666666667</v>
      </c>
      <c r="D807">
        <f t="shared" si="58"/>
        <v>3.0146666666666668</v>
      </c>
      <c r="E807" s="3">
        <v>13.3</v>
      </c>
      <c r="F807">
        <f t="shared" si="56"/>
        <v>2.214666666666667</v>
      </c>
      <c r="G807">
        <f t="shared" si="57"/>
        <v>8.2024691358024704E-2</v>
      </c>
    </row>
    <row r="808" spans="1:7">
      <c r="A808" s="1">
        <v>20150613</v>
      </c>
      <c r="B808" s="1">
        <v>30</v>
      </c>
      <c r="C808" s="2">
        <f t="shared" si="59"/>
        <v>2.214666666666667</v>
      </c>
      <c r="D808">
        <f t="shared" si="58"/>
        <v>3.0146666666666668</v>
      </c>
      <c r="E808" s="3">
        <v>13.3</v>
      </c>
      <c r="F808">
        <f t="shared" si="56"/>
        <v>2.214666666666667</v>
      </c>
      <c r="G808">
        <f t="shared" si="57"/>
        <v>7.3822222222222234E-2</v>
      </c>
    </row>
    <row r="809" spans="1:7">
      <c r="A809" s="1">
        <v>20150613</v>
      </c>
      <c r="B809" s="1">
        <v>13</v>
      </c>
      <c r="C809" s="2">
        <f t="shared" si="59"/>
        <v>2.214666666666667</v>
      </c>
      <c r="D809">
        <f t="shared" si="58"/>
        <v>3.0146666666666668</v>
      </c>
      <c r="E809" s="3">
        <v>13.3</v>
      </c>
      <c r="F809">
        <f t="shared" ref="F809:F872" si="60">C809</f>
        <v>2.214666666666667</v>
      </c>
      <c r="G809">
        <f t="shared" ref="G809:G872" si="61">F809/B809</f>
        <v>0.17035897435897437</v>
      </c>
    </row>
    <row r="810" spans="1:7">
      <c r="A810" s="1">
        <v>20150613</v>
      </c>
      <c r="B810" s="1">
        <v>20</v>
      </c>
      <c r="C810" s="2">
        <f t="shared" si="59"/>
        <v>2.214666666666667</v>
      </c>
      <c r="D810">
        <f t="shared" si="58"/>
        <v>3.0146666666666668</v>
      </c>
      <c r="E810" s="3">
        <v>13.3</v>
      </c>
      <c r="F810">
        <f t="shared" si="60"/>
        <v>2.214666666666667</v>
      </c>
      <c r="G810">
        <f t="shared" si="61"/>
        <v>0.11073333333333335</v>
      </c>
    </row>
    <row r="811" spans="1:7">
      <c r="A811" s="1">
        <v>20150613</v>
      </c>
      <c r="B811" s="1">
        <v>31</v>
      </c>
      <c r="C811" s="2">
        <f t="shared" si="59"/>
        <v>2.214666666666667</v>
      </c>
      <c r="D811">
        <f t="shared" si="58"/>
        <v>3.0146666666666668</v>
      </c>
      <c r="E811" s="3">
        <v>13.3</v>
      </c>
      <c r="F811">
        <f t="shared" si="60"/>
        <v>2.214666666666667</v>
      </c>
      <c r="G811">
        <f t="shared" si="61"/>
        <v>7.1440860215053775E-2</v>
      </c>
    </row>
    <row r="812" spans="1:7">
      <c r="A812" s="1">
        <v>20150613</v>
      </c>
      <c r="B812" s="1">
        <v>90</v>
      </c>
      <c r="C812" s="2">
        <f t="shared" si="59"/>
        <v>2.0786666666666669</v>
      </c>
      <c r="D812">
        <f t="shared" si="58"/>
        <v>2.8786666666666667</v>
      </c>
      <c r="E812" s="3">
        <v>12.7</v>
      </c>
      <c r="F812">
        <f t="shared" si="60"/>
        <v>2.0786666666666669</v>
      </c>
      <c r="G812">
        <f t="shared" si="61"/>
        <v>2.3096296296296299E-2</v>
      </c>
    </row>
    <row r="813" spans="1:7">
      <c r="A813" s="1">
        <v>20150613</v>
      </c>
      <c r="B813" s="1">
        <v>68</v>
      </c>
      <c r="C813" s="2">
        <f t="shared" si="59"/>
        <v>2.0786666666666669</v>
      </c>
      <c r="D813">
        <f t="shared" si="58"/>
        <v>2.8786666666666667</v>
      </c>
      <c r="E813" s="3">
        <v>12.7</v>
      </c>
      <c r="F813">
        <f t="shared" si="60"/>
        <v>2.0786666666666669</v>
      </c>
      <c r="G813">
        <f t="shared" si="61"/>
        <v>3.0568627450980396E-2</v>
      </c>
    </row>
    <row r="814" spans="1:7">
      <c r="A814" s="1">
        <v>20150613</v>
      </c>
      <c r="B814" s="1">
        <v>54</v>
      </c>
      <c r="C814" s="2">
        <f t="shared" si="59"/>
        <v>2.0786666666666669</v>
      </c>
      <c r="D814">
        <f t="shared" si="58"/>
        <v>2.8786666666666667</v>
      </c>
      <c r="E814" s="3">
        <v>12.7</v>
      </c>
      <c r="F814">
        <f t="shared" si="60"/>
        <v>2.0786666666666669</v>
      </c>
      <c r="G814">
        <f t="shared" si="61"/>
        <v>3.8493827160493828E-2</v>
      </c>
    </row>
    <row r="815" spans="1:7">
      <c r="A815" s="1">
        <v>20150613</v>
      </c>
      <c r="B815" s="1">
        <v>93</v>
      </c>
      <c r="C815" s="2">
        <f t="shared" si="59"/>
        <v>2.0786666666666669</v>
      </c>
      <c r="D815">
        <f t="shared" si="58"/>
        <v>2.8786666666666667</v>
      </c>
      <c r="E815" s="3">
        <v>12.7</v>
      </c>
      <c r="F815">
        <f t="shared" si="60"/>
        <v>2.0786666666666669</v>
      </c>
      <c r="G815">
        <f t="shared" si="61"/>
        <v>2.2351254480286742E-2</v>
      </c>
    </row>
    <row r="816" spans="1:7">
      <c r="A816" s="1">
        <v>20150613</v>
      </c>
      <c r="B816" s="1">
        <v>73</v>
      </c>
      <c r="C816" s="2">
        <f t="shared" si="59"/>
        <v>2.0786666666666669</v>
      </c>
      <c r="D816">
        <f t="shared" si="58"/>
        <v>2.8786666666666667</v>
      </c>
      <c r="E816" s="3">
        <v>12.7</v>
      </c>
      <c r="F816">
        <f t="shared" si="60"/>
        <v>2.0786666666666669</v>
      </c>
      <c r="G816">
        <f t="shared" si="61"/>
        <v>2.8474885844748863E-2</v>
      </c>
    </row>
    <row r="817" spans="1:7">
      <c r="A817" s="1">
        <v>20150613</v>
      </c>
      <c r="B817" s="1">
        <v>1</v>
      </c>
      <c r="C817" s="2">
        <f t="shared" si="59"/>
        <v>1.8293333333333333</v>
      </c>
      <c r="D817">
        <f t="shared" si="58"/>
        <v>2.6293333333333333</v>
      </c>
      <c r="E817" s="3">
        <v>11.6</v>
      </c>
      <c r="F817">
        <f t="shared" si="60"/>
        <v>1.8293333333333333</v>
      </c>
      <c r="G817">
        <f t="shared" si="61"/>
        <v>1.8293333333333333</v>
      </c>
    </row>
    <row r="818" spans="1:7">
      <c r="A818" s="1">
        <v>20150613</v>
      </c>
      <c r="B818" s="1">
        <v>54</v>
      </c>
      <c r="C818" s="2">
        <f t="shared" si="59"/>
        <v>1.8293333333333333</v>
      </c>
      <c r="D818">
        <f t="shared" ref="D818:D881" si="62">0.17*($H$3/12)*E818</f>
        <v>2.6293333333333333</v>
      </c>
      <c r="E818" s="3">
        <v>11.6</v>
      </c>
      <c r="F818">
        <f t="shared" si="60"/>
        <v>1.8293333333333333</v>
      </c>
      <c r="G818">
        <f t="shared" si="61"/>
        <v>3.3876543209876542E-2</v>
      </c>
    </row>
    <row r="819" spans="1:7">
      <c r="A819" s="1">
        <v>20150613</v>
      </c>
      <c r="B819" s="1">
        <v>13</v>
      </c>
      <c r="C819" s="2">
        <f t="shared" si="59"/>
        <v>1.8293333333333333</v>
      </c>
      <c r="D819">
        <f t="shared" si="62"/>
        <v>2.6293333333333333</v>
      </c>
      <c r="E819" s="3">
        <v>11.6</v>
      </c>
      <c r="F819">
        <f t="shared" si="60"/>
        <v>1.8293333333333333</v>
      </c>
      <c r="G819">
        <f t="shared" si="61"/>
        <v>0.14071794871794871</v>
      </c>
    </row>
    <row r="820" spans="1:7">
      <c r="A820" s="1">
        <v>20150613</v>
      </c>
      <c r="B820" s="1">
        <v>22</v>
      </c>
      <c r="C820" s="2">
        <f t="shared" si="59"/>
        <v>1.8293333333333333</v>
      </c>
      <c r="D820">
        <f t="shared" si="62"/>
        <v>2.6293333333333333</v>
      </c>
      <c r="E820" s="3">
        <v>11.6</v>
      </c>
      <c r="F820">
        <f t="shared" si="60"/>
        <v>1.8293333333333333</v>
      </c>
      <c r="G820">
        <f t="shared" si="61"/>
        <v>8.3151515151515143E-2</v>
      </c>
    </row>
    <row r="821" spans="1:7">
      <c r="A821" s="1">
        <v>20150613</v>
      </c>
      <c r="B821" s="1">
        <v>60</v>
      </c>
      <c r="C821" s="2">
        <f t="shared" si="59"/>
        <v>1.8293333333333333</v>
      </c>
      <c r="D821">
        <f t="shared" si="62"/>
        <v>2.6293333333333333</v>
      </c>
      <c r="E821" s="3">
        <v>11.6</v>
      </c>
      <c r="F821">
        <f t="shared" si="60"/>
        <v>1.8293333333333333</v>
      </c>
      <c r="G821">
        <f t="shared" si="61"/>
        <v>3.0488888888888888E-2</v>
      </c>
    </row>
    <row r="822" spans="1:7">
      <c r="A822" s="1">
        <v>20150613</v>
      </c>
      <c r="B822" s="1">
        <v>109</v>
      </c>
      <c r="C822" s="2">
        <f t="shared" si="59"/>
        <v>2.8040000000000003</v>
      </c>
      <c r="D822">
        <f t="shared" si="62"/>
        <v>3.6040000000000005</v>
      </c>
      <c r="E822" s="3">
        <v>15.9</v>
      </c>
      <c r="F822">
        <f t="shared" si="60"/>
        <v>2.8040000000000003</v>
      </c>
      <c r="G822">
        <f t="shared" si="61"/>
        <v>2.5724770642201838E-2</v>
      </c>
    </row>
    <row r="823" spans="1:7">
      <c r="A823" s="1">
        <v>20150613</v>
      </c>
      <c r="B823" s="1">
        <v>103</v>
      </c>
      <c r="C823" s="2">
        <f t="shared" si="59"/>
        <v>2.8040000000000003</v>
      </c>
      <c r="D823">
        <f t="shared" si="62"/>
        <v>3.6040000000000005</v>
      </c>
      <c r="E823" s="3">
        <v>15.9</v>
      </c>
      <c r="F823">
        <f t="shared" si="60"/>
        <v>2.8040000000000003</v>
      </c>
      <c r="G823">
        <f t="shared" si="61"/>
        <v>2.722330097087379E-2</v>
      </c>
    </row>
    <row r="824" spans="1:7">
      <c r="A824" s="1">
        <v>20150613</v>
      </c>
      <c r="B824" s="1">
        <v>106</v>
      </c>
      <c r="C824" s="2">
        <f t="shared" si="59"/>
        <v>2.8040000000000003</v>
      </c>
      <c r="D824">
        <f t="shared" si="62"/>
        <v>3.6040000000000005</v>
      </c>
      <c r="E824" s="3">
        <v>15.9</v>
      </c>
      <c r="F824">
        <f t="shared" si="60"/>
        <v>2.8040000000000003</v>
      </c>
      <c r="G824">
        <f t="shared" si="61"/>
        <v>2.6452830188679249E-2</v>
      </c>
    </row>
    <row r="825" spans="1:7">
      <c r="A825" s="1">
        <v>20150613</v>
      </c>
      <c r="B825" s="1">
        <v>107</v>
      </c>
      <c r="C825" s="2">
        <f t="shared" si="59"/>
        <v>2.8040000000000003</v>
      </c>
      <c r="D825">
        <f t="shared" si="62"/>
        <v>3.6040000000000005</v>
      </c>
      <c r="E825" s="3">
        <v>15.9</v>
      </c>
      <c r="F825">
        <f t="shared" si="60"/>
        <v>2.8040000000000003</v>
      </c>
      <c r="G825">
        <f t="shared" si="61"/>
        <v>2.6205607476635518E-2</v>
      </c>
    </row>
    <row r="826" spans="1:7">
      <c r="A826" s="1">
        <v>20150613</v>
      </c>
      <c r="B826" s="1">
        <v>94</v>
      </c>
      <c r="C826" s="2">
        <f t="shared" si="59"/>
        <v>2.8040000000000003</v>
      </c>
      <c r="D826">
        <f t="shared" si="62"/>
        <v>3.6040000000000005</v>
      </c>
      <c r="E826" s="3">
        <v>15.9</v>
      </c>
      <c r="F826">
        <f t="shared" si="60"/>
        <v>2.8040000000000003</v>
      </c>
      <c r="G826">
        <f t="shared" si="61"/>
        <v>2.9829787234042556E-2</v>
      </c>
    </row>
    <row r="827" spans="1:7">
      <c r="A827" s="1">
        <v>20150613</v>
      </c>
      <c r="B827" s="1">
        <v>73</v>
      </c>
      <c r="C827" s="2">
        <f t="shared" si="59"/>
        <v>3.461333333333334</v>
      </c>
      <c r="D827">
        <f t="shared" si="62"/>
        <v>4.2613333333333339</v>
      </c>
      <c r="E827" s="3">
        <v>18.8</v>
      </c>
      <c r="F827">
        <f t="shared" si="60"/>
        <v>3.461333333333334</v>
      </c>
      <c r="G827">
        <f t="shared" si="61"/>
        <v>4.7415525114155262E-2</v>
      </c>
    </row>
    <row r="828" spans="1:7">
      <c r="A828" s="1">
        <v>20150613</v>
      </c>
      <c r="B828" s="1">
        <v>75</v>
      </c>
      <c r="C828" s="2">
        <f t="shared" si="59"/>
        <v>3.461333333333334</v>
      </c>
      <c r="D828">
        <f t="shared" si="62"/>
        <v>4.2613333333333339</v>
      </c>
      <c r="E828" s="3">
        <v>18.8</v>
      </c>
      <c r="F828">
        <f t="shared" si="60"/>
        <v>3.461333333333334</v>
      </c>
      <c r="G828">
        <f t="shared" si="61"/>
        <v>4.6151111111111122E-2</v>
      </c>
    </row>
    <row r="829" spans="1:7">
      <c r="A829" s="1">
        <v>20150613</v>
      </c>
      <c r="B829" s="1">
        <v>45</v>
      </c>
      <c r="C829" s="2">
        <f t="shared" si="59"/>
        <v>3.461333333333334</v>
      </c>
      <c r="D829">
        <f t="shared" si="62"/>
        <v>4.2613333333333339</v>
      </c>
      <c r="E829" s="3">
        <v>18.8</v>
      </c>
      <c r="F829">
        <f t="shared" si="60"/>
        <v>3.461333333333334</v>
      </c>
      <c r="G829">
        <f t="shared" si="61"/>
        <v>7.6918518518518539E-2</v>
      </c>
    </row>
    <row r="830" spans="1:7">
      <c r="A830" s="1">
        <v>20150613</v>
      </c>
      <c r="B830" s="1">
        <v>70</v>
      </c>
      <c r="C830" s="2">
        <f t="shared" si="59"/>
        <v>3.461333333333334</v>
      </c>
      <c r="D830">
        <f t="shared" si="62"/>
        <v>4.2613333333333339</v>
      </c>
      <c r="E830" s="3">
        <v>18.8</v>
      </c>
      <c r="F830">
        <f t="shared" si="60"/>
        <v>3.461333333333334</v>
      </c>
      <c r="G830">
        <f t="shared" si="61"/>
        <v>4.944761904761906E-2</v>
      </c>
    </row>
    <row r="831" spans="1:7">
      <c r="A831" s="1">
        <v>20150613</v>
      </c>
      <c r="B831" s="1">
        <v>77</v>
      </c>
      <c r="C831" s="2">
        <f t="shared" si="59"/>
        <v>3.461333333333334</v>
      </c>
      <c r="D831">
        <f t="shared" si="62"/>
        <v>4.2613333333333339</v>
      </c>
      <c r="E831" s="3">
        <v>18.8</v>
      </c>
      <c r="F831">
        <f t="shared" si="60"/>
        <v>3.461333333333334</v>
      </c>
      <c r="G831">
        <f t="shared" si="61"/>
        <v>4.4952380952380959E-2</v>
      </c>
    </row>
    <row r="832" spans="1:7">
      <c r="A832" s="1">
        <v>20150613</v>
      </c>
      <c r="B832" s="1">
        <v>32</v>
      </c>
      <c r="C832" s="2">
        <f t="shared" ref="C832:C895" si="63">D832-$S$48</f>
        <v>3.4386666666666672</v>
      </c>
      <c r="D832">
        <f t="shared" si="62"/>
        <v>4.238666666666667</v>
      </c>
      <c r="E832" s="3">
        <v>18.7</v>
      </c>
      <c r="F832">
        <f t="shared" si="60"/>
        <v>3.4386666666666672</v>
      </c>
      <c r="G832">
        <f t="shared" si="61"/>
        <v>0.10745833333333335</v>
      </c>
    </row>
    <row r="833" spans="1:7">
      <c r="A833" s="1">
        <v>20150613</v>
      </c>
      <c r="B833" s="1">
        <v>53</v>
      </c>
      <c r="C833" s="2">
        <f t="shared" si="63"/>
        <v>3.4386666666666672</v>
      </c>
      <c r="D833">
        <f t="shared" si="62"/>
        <v>4.238666666666667</v>
      </c>
      <c r="E833" s="3">
        <v>18.7</v>
      </c>
      <c r="F833">
        <f t="shared" si="60"/>
        <v>3.4386666666666672</v>
      </c>
      <c r="G833">
        <f t="shared" si="61"/>
        <v>6.48805031446541E-2</v>
      </c>
    </row>
    <row r="834" spans="1:7">
      <c r="A834" s="1">
        <v>20150613</v>
      </c>
      <c r="B834" s="1">
        <v>89</v>
      </c>
      <c r="C834" s="2">
        <f t="shared" si="63"/>
        <v>3.4386666666666672</v>
      </c>
      <c r="D834">
        <f t="shared" si="62"/>
        <v>4.238666666666667</v>
      </c>
      <c r="E834" s="3">
        <v>18.7</v>
      </c>
      <c r="F834">
        <f t="shared" si="60"/>
        <v>3.4386666666666672</v>
      </c>
      <c r="G834">
        <f t="shared" si="61"/>
        <v>3.8636704119850193E-2</v>
      </c>
    </row>
    <row r="835" spans="1:7">
      <c r="A835" s="1">
        <v>20150613</v>
      </c>
      <c r="B835" s="1">
        <v>47</v>
      </c>
      <c r="C835" s="2">
        <f t="shared" si="63"/>
        <v>3.4386666666666672</v>
      </c>
      <c r="D835">
        <f t="shared" si="62"/>
        <v>4.238666666666667</v>
      </c>
      <c r="E835" s="3">
        <v>18.7</v>
      </c>
      <c r="F835">
        <f t="shared" si="60"/>
        <v>3.4386666666666672</v>
      </c>
      <c r="G835">
        <f t="shared" si="61"/>
        <v>7.3163120567375894E-2</v>
      </c>
    </row>
    <row r="836" spans="1:7">
      <c r="A836" s="1">
        <v>20150613</v>
      </c>
      <c r="B836" s="1">
        <v>73</v>
      </c>
      <c r="C836" s="2">
        <f t="shared" si="63"/>
        <v>3.4386666666666672</v>
      </c>
      <c r="D836">
        <f t="shared" si="62"/>
        <v>4.238666666666667</v>
      </c>
      <c r="E836" s="3">
        <v>18.7</v>
      </c>
      <c r="F836">
        <f t="shared" si="60"/>
        <v>3.4386666666666672</v>
      </c>
      <c r="G836">
        <f t="shared" si="61"/>
        <v>4.7105022831050239E-2</v>
      </c>
    </row>
    <row r="837" spans="1:7">
      <c r="A837" s="1">
        <v>20150613</v>
      </c>
      <c r="B837" s="1">
        <v>44</v>
      </c>
      <c r="C837" s="2">
        <f t="shared" si="63"/>
        <v>2.214666666666667</v>
      </c>
      <c r="D837">
        <f t="shared" si="62"/>
        <v>3.0146666666666668</v>
      </c>
      <c r="E837" s="3">
        <v>13.3</v>
      </c>
      <c r="F837">
        <f t="shared" si="60"/>
        <v>2.214666666666667</v>
      </c>
      <c r="G837">
        <f t="shared" si="61"/>
        <v>5.0333333333333341E-2</v>
      </c>
    </row>
    <row r="838" spans="1:7">
      <c r="A838" s="1">
        <v>20150613</v>
      </c>
      <c r="B838" s="1">
        <v>29</v>
      </c>
      <c r="C838" s="2">
        <f t="shared" si="63"/>
        <v>2.214666666666667</v>
      </c>
      <c r="D838">
        <f t="shared" si="62"/>
        <v>3.0146666666666668</v>
      </c>
      <c r="E838" s="3">
        <v>13.3</v>
      </c>
      <c r="F838">
        <f t="shared" si="60"/>
        <v>2.214666666666667</v>
      </c>
      <c r="G838">
        <f t="shared" si="61"/>
        <v>7.6367816091954033E-2</v>
      </c>
    </row>
    <row r="839" spans="1:7">
      <c r="A839" s="1">
        <v>20150613</v>
      </c>
      <c r="B839" s="1">
        <v>31</v>
      </c>
      <c r="C839" s="2">
        <f t="shared" si="63"/>
        <v>2.214666666666667</v>
      </c>
      <c r="D839">
        <f t="shared" si="62"/>
        <v>3.0146666666666668</v>
      </c>
      <c r="E839" s="3">
        <v>13.3</v>
      </c>
      <c r="F839">
        <f t="shared" si="60"/>
        <v>2.214666666666667</v>
      </c>
      <c r="G839">
        <f t="shared" si="61"/>
        <v>7.1440860215053775E-2</v>
      </c>
    </row>
    <row r="840" spans="1:7">
      <c r="A840" s="1">
        <v>20150613</v>
      </c>
      <c r="B840" s="1">
        <v>52</v>
      </c>
      <c r="C840" s="2">
        <f t="shared" si="63"/>
        <v>2.214666666666667</v>
      </c>
      <c r="D840">
        <f t="shared" si="62"/>
        <v>3.0146666666666668</v>
      </c>
      <c r="E840" s="3">
        <v>13.3</v>
      </c>
      <c r="F840">
        <f t="shared" si="60"/>
        <v>2.214666666666667</v>
      </c>
      <c r="G840">
        <f t="shared" si="61"/>
        <v>4.2589743589743594E-2</v>
      </c>
    </row>
    <row r="841" spans="1:7">
      <c r="A841" s="1">
        <v>20150613</v>
      </c>
      <c r="B841" s="1">
        <v>41</v>
      </c>
      <c r="C841" s="2">
        <f t="shared" si="63"/>
        <v>2.214666666666667</v>
      </c>
      <c r="D841">
        <f t="shared" si="62"/>
        <v>3.0146666666666668</v>
      </c>
      <c r="E841" s="3">
        <v>13.3</v>
      </c>
      <c r="F841">
        <f t="shared" si="60"/>
        <v>2.214666666666667</v>
      </c>
      <c r="G841">
        <f t="shared" si="61"/>
        <v>5.4016260162601637E-2</v>
      </c>
    </row>
    <row r="842" spans="1:7">
      <c r="A842" s="1">
        <v>20150613</v>
      </c>
      <c r="B842" s="1">
        <v>75</v>
      </c>
      <c r="C842" s="2">
        <f t="shared" si="63"/>
        <v>2.0786666666666669</v>
      </c>
      <c r="D842">
        <f t="shared" si="62"/>
        <v>2.8786666666666667</v>
      </c>
      <c r="E842" s="3">
        <v>12.7</v>
      </c>
      <c r="F842">
        <f t="shared" si="60"/>
        <v>2.0786666666666669</v>
      </c>
      <c r="G842">
        <f t="shared" si="61"/>
        <v>2.7715555555555559E-2</v>
      </c>
    </row>
    <row r="843" spans="1:7">
      <c r="A843" s="1">
        <v>20150613</v>
      </c>
      <c r="B843" s="1">
        <v>76</v>
      </c>
      <c r="C843" s="2">
        <f t="shared" si="63"/>
        <v>2.0786666666666669</v>
      </c>
      <c r="D843">
        <f t="shared" si="62"/>
        <v>2.8786666666666667</v>
      </c>
      <c r="E843" s="3">
        <v>12.7</v>
      </c>
      <c r="F843">
        <f t="shared" si="60"/>
        <v>2.0786666666666669</v>
      </c>
      <c r="G843">
        <f t="shared" si="61"/>
        <v>2.7350877192982459E-2</v>
      </c>
    </row>
    <row r="844" spans="1:7">
      <c r="A844" s="1">
        <v>20150613</v>
      </c>
      <c r="B844" s="1">
        <v>83</v>
      </c>
      <c r="C844" s="2">
        <f t="shared" si="63"/>
        <v>2.0786666666666669</v>
      </c>
      <c r="D844">
        <f t="shared" si="62"/>
        <v>2.8786666666666667</v>
      </c>
      <c r="E844" s="3">
        <v>12.7</v>
      </c>
      <c r="F844">
        <f t="shared" si="60"/>
        <v>2.0786666666666669</v>
      </c>
      <c r="G844">
        <f t="shared" si="61"/>
        <v>2.5044176706827313E-2</v>
      </c>
    </row>
    <row r="845" spans="1:7">
      <c r="A845" s="1">
        <v>20150613</v>
      </c>
      <c r="B845" s="1">
        <v>74</v>
      </c>
      <c r="C845" s="2">
        <f t="shared" si="63"/>
        <v>2.0786666666666669</v>
      </c>
      <c r="D845">
        <f t="shared" si="62"/>
        <v>2.8786666666666667</v>
      </c>
      <c r="E845" s="3">
        <v>12.7</v>
      </c>
      <c r="F845">
        <f t="shared" si="60"/>
        <v>2.0786666666666669</v>
      </c>
      <c r="G845">
        <f t="shared" si="61"/>
        <v>2.8090090090090093E-2</v>
      </c>
    </row>
    <row r="846" spans="1:7">
      <c r="A846" s="1">
        <v>20150613</v>
      </c>
      <c r="B846" s="1">
        <v>87</v>
      </c>
      <c r="C846" s="2">
        <f t="shared" si="63"/>
        <v>2.0786666666666669</v>
      </c>
      <c r="D846">
        <f t="shared" si="62"/>
        <v>2.8786666666666667</v>
      </c>
      <c r="E846" s="3">
        <v>12.7</v>
      </c>
      <c r="F846">
        <f t="shared" si="60"/>
        <v>2.0786666666666669</v>
      </c>
      <c r="G846">
        <f t="shared" si="61"/>
        <v>2.3892720306513411E-2</v>
      </c>
    </row>
    <row r="847" spans="1:7">
      <c r="A847" s="1">
        <v>20150613</v>
      </c>
      <c r="B847" s="1">
        <v>37</v>
      </c>
      <c r="C847" s="2">
        <f t="shared" si="63"/>
        <v>1.8293333333333333</v>
      </c>
      <c r="D847">
        <f t="shared" si="62"/>
        <v>2.6293333333333333</v>
      </c>
      <c r="E847" s="3">
        <v>11.6</v>
      </c>
      <c r="F847">
        <f t="shared" si="60"/>
        <v>1.8293333333333333</v>
      </c>
      <c r="G847">
        <f t="shared" si="61"/>
        <v>4.9441441441441442E-2</v>
      </c>
    </row>
    <row r="848" spans="1:7">
      <c r="A848" s="1">
        <v>20150613</v>
      </c>
      <c r="B848" s="1">
        <v>47</v>
      </c>
      <c r="C848" s="2">
        <f t="shared" si="63"/>
        <v>1.8293333333333333</v>
      </c>
      <c r="D848">
        <f t="shared" si="62"/>
        <v>2.6293333333333333</v>
      </c>
      <c r="E848" s="3">
        <v>11.6</v>
      </c>
      <c r="F848">
        <f t="shared" si="60"/>
        <v>1.8293333333333333</v>
      </c>
      <c r="G848">
        <f t="shared" si="61"/>
        <v>3.8921985815602834E-2</v>
      </c>
    </row>
    <row r="849" spans="1:7">
      <c r="A849" s="1">
        <v>20150613</v>
      </c>
      <c r="B849" s="1">
        <v>55</v>
      </c>
      <c r="C849" s="2">
        <f t="shared" si="63"/>
        <v>1.8293333333333333</v>
      </c>
      <c r="D849">
        <f t="shared" si="62"/>
        <v>2.6293333333333333</v>
      </c>
      <c r="E849" s="3">
        <v>11.6</v>
      </c>
      <c r="F849">
        <f t="shared" si="60"/>
        <v>1.8293333333333333</v>
      </c>
      <c r="G849">
        <f t="shared" si="61"/>
        <v>3.326060606060606E-2</v>
      </c>
    </row>
    <row r="850" spans="1:7">
      <c r="A850" s="1">
        <v>20150613</v>
      </c>
      <c r="B850" s="1">
        <v>61</v>
      </c>
      <c r="C850" s="2">
        <f t="shared" si="63"/>
        <v>1.8293333333333333</v>
      </c>
      <c r="D850">
        <f t="shared" si="62"/>
        <v>2.6293333333333333</v>
      </c>
      <c r="E850" s="3">
        <v>11.6</v>
      </c>
      <c r="F850">
        <f t="shared" si="60"/>
        <v>1.8293333333333333</v>
      </c>
      <c r="G850">
        <f t="shared" si="61"/>
        <v>2.9989071038251366E-2</v>
      </c>
    </row>
    <row r="851" spans="1:7">
      <c r="A851" s="1">
        <v>20150613</v>
      </c>
      <c r="B851" s="1">
        <v>53</v>
      </c>
      <c r="C851" s="2">
        <f t="shared" si="63"/>
        <v>1.8293333333333333</v>
      </c>
      <c r="D851">
        <f t="shared" si="62"/>
        <v>2.6293333333333333</v>
      </c>
      <c r="E851" s="3">
        <v>11.6</v>
      </c>
      <c r="F851">
        <f t="shared" si="60"/>
        <v>1.8293333333333333</v>
      </c>
      <c r="G851">
        <f t="shared" si="61"/>
        <v>3.4515723270440252E-2</v>
      </c>
    </row>
    <row r="852" spans="1:7">
      <c r="A852" s="1">
        <v>20150613</v>
      </c>
      <c r="B852" s="1">
        <v>85</v>
      </c>
      <c r="C852" s="2">
        <f t="shared" si="63"/>
        <v>2.8040000000000003</v>
      </c>
      <c r="D852">
        <f t="shared" si="62"/>
        <v>3.6040000000000005</v>
      </c>
      <c r="E852" s="3">
        <v>15.9</v>
      </c>
      <c r="F852">
        <f t="shared" si="60"/>
        <v>2.8040000000000003</v>
      </c>
      <c r="G852">
        <f t="shared" si="61"/>
        <v>3.2988235294117652E-2</v>
      </c>
    </row>
    <row r="853" spans="1:7">
      <c r="A853" s="1">
        <v>20150613</v>
      </c>
      <c r="B853" s="1">
        <v>91</v>
      </c>
      <c r="C853" s="2">
        <f t="shared" si="63"/>
        <v>2.8040000000000003</v>
      </c>
      <c r="D853">
        <f t="shared" si="62"/>
        <v>3.6040000000000005</v>
      </c>
      <c r="E853" s="3">
        <v>15.9</v>
      </c>
      <c r="F853">
        <f t="shared" si="60"/>
        <v>2.8040000000000003</v>
      </c>
      <c r="G853">
        <f t="shared" si="61"/>
        <v>3.0813186813186816E-2</v>
      </c>
    </row>
    <row r="854" spans="1:7">
      <c r="A854" s="1">
        <v>20150613</v>
      </c>
      <c r="B854" s="1">
        <v>90</v>
      </c>
      <c r="C854" s="2">
        <f t="shared" si="63"/>
        <v>2.8040000000000003</v>
      </c>
      <c r="D854">
        <f t="shared" si="62"/>
        <v>3.6040000000000005</v>
      </c>
      <c r="E854" s="3">
        <v>15.9</v>
      </c>
      <c r="F854">
        <f t="shared" si="60"/>
        <v>2.8040000000000003</v>
      </c>
      <c r="G854">
        <f t="shared" si="61"/>
        <v>3.1155555555555558E-2</v>
      </c>
    </row>
    <row r="855" spans="1:7">
      <c r="A855" s="1">
        <v>20150613</v>
      </c>
      <c r="B855" s="1">
        <v>94</v>
      </c>
      <c r="C855" s="2">
        <f t="shared" si="63"/>
        <v>2.8040000000000003</v>
      </c>
      <c r="D855">
        <f t="shared" si="62"/>
        <v>3.6040000000000005</v>
      </c>
      <c r="E855" s="3">
        <v>15.9</v>
      </c>
      <c r="F855">
        <f t="shared" si="60"/>
        <v>2.8040000000000003</v>
      </c>
      <c r="G855">
        <f t="shared" si="61"/>
        <v>2.9829787234042556E-2</v>
      </c>
    </row>
    <row r="856" spans="1:7">
      <c r="A856" s="1">
        <v>20150613</v>
      </c>
      <c r="B856" s="1">
        <v>89</v>
      </c>
      <c r="C856" s="2">
        <f t="shared" si="63"/>
        <v>2.8040000000000003</v>
      </c>
      <c r="D856">
        <f t="shared" si="62"/>
        <v>3.6040000000000005</v>
      </c>
      <c r="E856" s="3">
        <v>15.9</v>
      </c>
      <c r="F856">
        <f t="shared" si="60"/>
        <v>2.8040000000000003</v>
      </c>
      <c r="G856">
        <f t="shared" si="61"/>
        <v>3.1505617977528093E-2</v>
      </c>
    </row>
    <row r="857" spans="1:7">
      <c r="A857" s="1">
        <v>20150613</v>
      </c>
      <c r="B857" s="1">
        <v>7</v>
      </c>
      <c r="C857" s="2">
        <f t="shared" si="63"/>
        <v>1.2173333333333336</v>
      </c>
      <c r="D857">
        <f t="shared" si="62"/>
        <v>2.0173333333333336</v>
      </c>
      <c r="E857" s="3">
        <v>8.9</v>
      </c>
      <c r="F857">
        <f t="shared" si="60"/>
        <v>1.2173333333333336</v>
      </c>
      <c r="G857">
        <f t="shared" si="61"/>
        <v>0.17390476190476195</v>
      </c>
    </row>
    <row r="858" spans="1:7">
      <c r="A858" s="1">
        <v>20150613</v>
      </c>
      <c r="B858" s="1">
        <v>11</v>
      </c>
      <c r="C858" s="2">
        <f t="shared" si="63"/>
        <v>1.2173333333333336</v>
      </c>
      <c r="D858">
        <f t="shared" si="62"/>
        <v>2.0173333333333336</v>
      </c>
      <c r="E858" s="3">
        <v>8.9</v>
      </c>
      <c r="F858">
        <f t="shared" si="60"/>
        <v>1.2173333333333336</v>
      </c>
      <c r="G858">
        <f t="shared" si="61"/>
        <v>0.11066666666666669</v>
      </c>
    </row>
    <row r="859" spans="1:7">
      <c r="A859" s="1">
        <v>20150613</v>
      </c>
      <c r="B859" s="1">
        <v>5</v>
      </c>
      <c r="C859" s="2">
        <f t="shared" si="63"/>
        <v>1.2173333333333336</v>
      </c>
      <c r="D859">
        <f t="shared" si="62"/>
        <v>2.0173333333333336</v>
      </c>
      <c r="E859" s="3">
        <v>8.9</v>
      </c>
      <c r="F859">
        <f t="shared" si="60"/>
        <v>1.2173333333333336</v>
      </c>
      <c r="G859">
        <f t="shared" si="61"/>
        <v>0.24346666666666672</v>
      </c>
    </row>
    <row r="860" spans="1:7">
      <c r="A860" s="1">
        <v>20150613</v>
      </c>
      <c r="B860" s="1">
        <v>11</v>
      </c>
      <c r="C860" s="2">
        <f t="shared" si="63"/>
        <v>1.2173333333333336</v>
      </c>
      <c r="D860">
        <f t="shared" si="62"/>
        <v>2.0173333333333336</v>
      </c>
      <c r="E860" s="3">
        <v>8.9</v>
      </c>
      <c r="F860">
        <f t="shared" si="60"/>
        <v>1.2173333333333336</v>
      </c>
      <c r="G860">
        <f t="shared" si="61"/>
        <v>0.11066666666666669</v>
      </c>
    </row>
    <row r="861" spans="1:7">
      <c r="A861" s="1">
        <v>20150613</v>
      </c>
      <c r="B861" s="1">
        <v>7</v>
      </c>
      <c r="C861" s="2">
        <f t="shared" si="63"/>
        <v>1.2173333333333336</v>
      </c>
      <c r="D861">
        <f t="shared" si="62"/>
        <v>2.0173333333333336</v>
      </c>
      <c r="E861" s="3">
        <v>8.9</v>
      </c>
      <c r="F861">
        <f t="shared" si="60"/>
        <v>1.2173333333333336</v>
      </c>
      <c r="G861">
        <f t="shared" si="61"/>
        <v>0.17390476190476195</v>
      </c>
    </row>
    <row r="862" spans="1:7">
      <c r="A862" s="1">
        <v>20150613</v>
      </c>
      <c r="B862" s="1">
        <v>100</v>
      </c>
      <c r="C862" s="2">
        <f t="shared" si="63"/>
        <v>2.8493333333333339</v>
      </c>
      <c r="D862">
        <f t="shared" si="62"/>
        <v>3.6493333333333338</v>
      </c>
      <c r="E862" s="3">
        <v>16.100000000000001</v>
      </c>
      <c r="F862">
        <f t="shared" si="60"/>
        <v>2.8493333333333339</v>
      </c>
      <c r="G862">
        <f t="shared" si="61"/>
        <v>2.8493333333333339E-2</v>
      </c>
    </row>
    <row r="863" spans="1:7">
      <c r="A863" s="1">
        <v>20150613</v>
      </c>
      <c r="B863" s="1">
        <v>102</v>
      </c>
      <c r="C863" s="2">
        <f t="shared" si="63"/>
        <v>2.8493333333333339</v>
      </c>
      <c r="D863">
        <f t="shared" si="62"/>
        <v>3.6493333333333338</v>
      </c>
      <c r="E863" s="3">
        <v>16.100000000000001</v>
      </c>
      <c r="F863">
        <f t="shared" si="60"/>
        <v>2.8493333333333339</v>
      </c>
      <c r="G863">
        <f t="shared" si="61"/>
        <v>2.7934640522875823E-2</v>
      </c>
    </row>
    <row r="864" spans="1:7">
      <c r="A864" s="1">
        <v>20150613</v>
      </c>
      <c r="B864" s="1">
        <v>102</v>
      </c>
      <c r="C864" s="2">
        <f t="shared" si="63"/>
        <v>2.8493333333333339</v>
      </c>
      <c r="D864">
        <f t="shared" si="62"/>
        <v>3.6493333333333338</v>
      </c>
      <c r="E864" s="3">
        <v>16.100000000000001</v>
      </c>
      <c r="F864">
        <f t="shared" si="60"/>
        <v>2.8493333333333339</v>
      </c>
      <c r="G864">
        <f t="shared" si="61"/>
        <v>2.7934640522875823E-2</v>
      </c>
    </row>
    <row r="865" spans="1:7">
      <c r="A865" s="1">
        <v>20150613</v>
      </c>
      <c r="B865" s="1">
        <v>90</v>
      </c>
      <c r="C865" s="2">
        <f t="shared" si="63"/>
        <v>2.8493333333333339</v>
      </c>
      <c r="D865">
        <f t="shared" si="62"/>
        <v>3.6493333333333338</v>
      </c>
      <c r="E865" s="3">
        <v>16.100000000000001</v>
      </c>
      <c r="F865">
        <f t="shared" si="60"/>
        <v>2.8493333333333339</v>
      </c>
      <c r="G865">
        <f t="shared" si="61"/>
        <v>3.1659259259259269E-2</v>
      </c>
    </row>
    <row r="866" spans="1:7">
      <c r="A866" s="1">
        <v>20150613</v>
      </c>
      <c r="B866" s="1">
        <v>93</v>
      </c>
      <c r="C866" s="2">
        <f t="shared" si="63"/>
        <v>2.8493333333333339</v>
      </c>
      <c r="D866">
        <f t="shared" si="62"/>
        <v>3.6493333333333338</v>
      </c>
      <c r="E866" s="3">
        <v>16.100000000000001</v>
      </c>
      <c r="F866">
        <f t="shared" si="60"/>
        <v>2.8493333333333339</v>
      </c>
      <c r="G866">
        <f t="shared" si="61"/>
        <v>3.0637992831541224E-2</v>
      </c>
    </row>
    <row r="867" spans="1:7">
      <c r="A867" s="1">
        <v>20150613</v>
      </c>
      <c r="B867" s="1">
        <v>91</v>
      </c>
      <c r="C867" s="2">
        <f t="shared" si="63"/>
        <v>2.1920000000000002</v>
      </c>
      <c r="D867">
        <f t="shared" si="62"/>
        <v>2.992</v>
      </c>
      <c r="E867" s="3">
        <v>13.2</v>
      </c>
      <c r="F867">
        <f t="shared" si="60"/>
        <v>2.1920000000000002</v>
      </c>
      <c r="G867">
        <f t="shared" si="61"/>
        <v>2.408791208791209E-2</v>
      </c>
    </row>
    <row r="868" spans="1:7">
      <c r="A868" s="1">
        <v>20150613</v>
      </c>
      <c r="B868" s="1">
        <v>68</v>
      </c>
      <c r="C868" s="2">
        <f t="shared" si="63"/>
        <v>2.1920000000000002</v>
      </c>
      <c r="D868">
        <f t="shared" si="62"/>
        <v>2.992</v>
      </c>
      <c r="E868" s="3">
        <v>13.2</v>
      </c>
      <c r="F868">
        <f t="shared" si="60"/>
        <v>2.1920000000000002</v>
      </c>
      <c r="G868">
        <f t="shared" si="61"/>
        <v>3.2235294117647063E-2</v>
      </c>
    </row>
    <row r="869" spans="1:7">
      <c r="A869" s="1">
        <v>20150613</v>
      </c>
      <c r="B869" s="1">
        <v>36</v>
      </c>
      <c r="C869" s="2">
        <f t="shared" si="63"/>
        <v>2.1920000000000002</v>
      </c>
      <c r="D869">
        <f t="shared" si="62"/>
        <v>2.992</v>
      </c>
      <c r="E869" s="3">
        <v>13.2</v>
      </c>
      <c r="F869">
        <f t="shared" si="60"/>
        <v>2.1920000000000002</v>
      </c>
      <c r="G869">
        <f t="shared" si="61"/>
        <v>6.0888888888888895E-2</v>
      </c>
    </row>
    <row r="870" spans="1:7">
      <c r="A870" s="1">
        <v>20150613</v>
      </c>
      <c r="B870" s="1">
        <v>68</v>
      </c>
      <c r="C870" s="2">
        <f t="shared" si="63"/>
        <v>2.1920000000000002</v>
      </c>
      <c r="D870">
        <f t="shared" si="62"/>
        <v>2.992</v>
      </c>
      <c r="E870" s="3">
        <v>13.2</v>
      </c>
      <c r="F870">
        <f t="shared" si="60"/>
        <v>2.1920000000000002</v>
      </c>
      <c r="G870">
        <f t="shared" si="61"/>
        <v>3.2235294117647063E-2</v>
      </c>
    </row>
    <row r="871" spans="1:7">
      <c r="A871" s="1">
        <v>20150613</v>
      </c>
      <c r="B871" s="1">
        <v>33</v>
      </c>
      <c r="C871" s="2">
        <f t="shared" si="63"/>
        <v>2.1920000000000002</v>
      </c>
      <c r="D871">
        <f t="shared" si="62"/>
        <v>2.992</v>
      </c>
      <c r="E871" s="3">
        <v>13.2</v>
      </c>
      <c r="F871">
        <f t="shared" si="60"/>
        <v>2.1920000000000002</v>
      </c>
      <c r="G871">
        <f t="shared" si="61"/>
        <v>6.6424242424242427E-2</v>
      </c>
    </row>
    <row r="872" spans="1:7">
      <c r="A872" s="1">
        <v>20150613</v>
      </c>
      <c r="B872" s="1">
        <v>24</v>
      </c>
      <c r="C872" s="2">
        <f t="shared" si="63"/>
        <v>2.532</v>
      </c>
      <c r="D872">
        <f t="shared" si="62"/>
        <v>3.3320000000000003</v>
      </c>
      <c r="E872" s="3">
        <v>14.7</v>
      </c>
      <c r="F872">
        <f t="shared" si="60"/>
        <v>2.532</v>
      </c>
      <c r="G872">
        <f t="shared" si="61"/>
        <v>0.1055</v>
      </c>
    </row>
    <row r="873" spans="1:7">
      <c r="A873" s="1">
        <v>20150613</v>
      </c>
      <c r="B873" s="1">
        <v>37</v>
      </c>
      <c r="C873" s="2">
        <f t="shared" si="63"/>
        <v>2.532</v>
      </c>
      <c r="D873">
        <f t="shared" si="62"/>
        <v>3.3320000000000003</v>
      </c>
      <c r="E873" s="3">
        <v>14.7</v>
      </c>
      <c r="F873">
        <f t="shared" ref="F873:F936" si="64">C873</f>
        <v>2.532</v>
      </c>
      <c r="G873">
        <f t="shared" ref="G873:G936" si="65">F873/B873</f>
        <v>6.8432432432432438E-2</v>
      </c>
    </row>
    <row r="874" spans="1:7">
      <c r="A874" s="1">
        <v>20150613</v>
      </c>
      <c r="B874" s="1">
        <v>12</v>
      </c>
      <c r="C874" s="2">
        <f t="shared" si="63"/>
        <v>2.532</v>
      </c>
      <c r="D874">
        <f t="shared" si="62"/>
        <v>3.3320000000000003</v>
      </c>
      <c r="E874" s="3">
        <v>14.7</v>
      </c>
      <c r="F874">
        <f t="shared" si="64"/>
        <v>2.532</v>
      </c>
      <c r="G874">
        <f t="shared" si="65"/>
        <v>0.21099999999999999</v>
      </c>
    </row>
    <row r="875" spans="1:7">
      <c r="A875" s="1">
        <v>20150613</v>
      </c>
      <c r="B875" s="1">
        <v>91</v>
      </c>
      <c r="C875" s="2">
        <f t="shared" si="63"/>
        <v>2.532</v>
      </c>
      <c r="D875">
        <f t="shared" si="62"/>
        <v>3.3320000000000003</v>
      </c>
      <c r="E875" s="3">
        <v>14.7</v>
      </c>
      <c r="F875">
        <f t="shared" si="64"/>
        <v>2.532</v>
      </c>
      <c r="G875">
        <f t="shared" si="65"/>
        <v>2.7824175824175824E-2</v>
      </c>
    </row>
    <row r="876" spans="1:7">
      <c r="A876" s="1">
        <v>20150613</v>
      </c>
      <c r="B876" s="1">
        <v>101</v>
      </c>
      <c r="C876" s="2">
        <f t="shared" si="63"/>
        <v>2.532</v>
      </c>
      <c r="D876">
        <f t="shared" si="62"/>
        <v>3.3320000000000003</v>
      </c>
      <c r="E876" s="3">
        <v>14.7</v>
      </c>
      <c r="F876">
        <f t="shared" si="64"/>
        <v>2.532</v>
      </c>
      <c r="G876">
        <f t="shared" si="65"/>
        <v>2.5069306930693071E-2</v>
      </c>
    </row>
    <row r="877" spans="1:7">
      <c r="A877" s="1">
        <v>20150613</v>
      </c>
      <c r="B877" s="1">
        <v>58</v>
      </c>
      <c r="C877" s="2">
        <f t="shared" si="63"/>
        <v>2.1920000000000002</v>
      </c>
      <c r="D877">
        <f t="shared" si="62"/>
        <v>2.992</v>
      </c>
      <c r="E877" s="3">
        <v>13.2</v>
      </c>
      <c r="F877">
        <f t="shared" si="64"/>
        <v>2.1920000000000002</v>
      </c>
      <c r="G877">
        <f t="shared" si="65"/>
        <v>3.7793103448275862E-2</v>
      </c>
    </row>
    <row r="878" spans="1:7">
      <c r="A878" s="1">
        <v>20150613</v>
      </c>
      <c r="B878" s="1">
        <v>44</v>
      </c>
      <c r="C878" s="2">
        <f t="shared" si="63"/>
        <v>2.1920000000000002</v>
      </c>
      <c r="D878">
        <f t="shared" si="62"/>
        <v>2.992</v>
      </c>
      <c r="E878" s="3">
        <v>13.2</v>
      </c>
      <c r="F878">
        <f t="shared" si="64"/>
        <v>2.1920000000000002</v>
      </c>
      <c r="G878">
        <f t="shared" si="65"/>
        <v>4.9818181818181824E-2</v>
      </c>
    </row>
    <row r="879" spans="1:7">
      <c r="A879" s="1">
        <v>20150613</v>
      </c>
      <c r="B879" s="1">
        <v>44</v>
      </c>
      <c r="C879" s="2">
        <f t="shared" si="63"/>
        <v>2.1920000000000002</v>
      </c>
      <c r="D879">
        <f t="shared" si="62"/>
        <v>2.992</v>
      </c>
      <c r="E879" s="3">
        <v>13.2</v>
      </c>
      <c r="F879">
        <f t="shared" si="64"/>
        <v>2.1920000000000002</v>
      </c>
      <c r="G879">
        <f t="shared" si="65"/>
        <v>4.9818181818181824E-2</v>
      </c>
    </row>
    <row r="880" spans="1:7">
      <c r="A880" s="1">
        <v>20150613</v>
      </c>
      <c r="B880" s="1">
        <v>82</v>
      </c>
      <c r="C880" s="2">
        <f t="shared" si="63"/>
        <v>2.1920000000000002</v>
      </c>
      <c r="D880">
        <f t="shared" si="62"/>
        <v>2.992</v>
      </c>
      <c r="E880" s="3">
        <v>13.2</v>
      </c>
      <c r="F880">
        <f t="shared" si="64"/>
        <v>2.1920000000000002</v>
      </c>
      <c r="G880">
        <f t="shared" si="65"/>
        <v>2.6731707317073174E-2</v>
      </c>
    </row>
    <row r="881" spans="1:7">
      <c r="A881" s="1">
        <v>20150613</v>
      </c>
      <c r="B881" s="1">
        <v>67</v>
      </c>
      <c r="C881" s="2">
        <f t="shared" si="63"/>
        <v>2.1920000000000002</v>
      </c>
      <c r="D881">
        <f t="shared" si="62"/>
        <v>2.992</v>
      </c>
      <c r="E881" s="3">
        <v>13.2</v>
      </c>
      <c r="F881">
        <f t="shared" si="64"/>
        <v>2.1920000000000002</v>
      </c>
      <c r="G881">
        <f t="shared" si="65"/>
        <v>3.2716417910447763E-2</v>
      </c>
    </row>
    <row r="882" spans="1:7">
      <c r="A882" s="1">
        <v>20150613</v>
      </c>
      <c r="B882" s="1">
        <v>19</v>
      </c>
      <c r="C882" s="2">
        <f t="shared" si="63"/>
        <v>2.3280000000000003</v>
      </c>
      <c r="D882">
        <f t="shared" ref="D882:D945" si="66">0.17*($H$3/12)*E882</f>
        <v>3.1280000000000006</v>
      </c>
      <c r="E882" s="3">
        <v>13.8</v>
      </c>
      <c r="F882">
        <f t="shared" si="64"/>
        <v>2.3280000000000003</v>
      </c>
      <c r="G882">
        <f t="shared" si="65"/>
        <v>0.12252631578947371</v>
      </c>
    </row>
    <row r="883" spans="1:7">
      <c r="A883" s="1">
        <v>20150613</v>
      </c>
      <c r="B883" s="1">
        <v>93</v>
      </c>
      <c r="C883" s="2">
        <f t="shared" si="63"/>
        <v>2.3280000000000003</v>
      </c>
      <c r="D883">
        <f t="shared" si="66"/>
        <v>3.1280000000000006</v>
      </c>
      <c r="E883" s="3">
        <v>13.8</v>
      </c>
      <c r="F883">
        <f t="shared" si="64"/>
        <v>2.3280000000000003</v>
      </c>
      <c r="G883">
        <f t="shared" si="65"/>
        <v>2.5032258064516134E-2</v>
      </c>
    </row>
    <row r="884" spans="1:7">
      <c r="A884" s="1">
        <v>20150613</v>
      </c>
      <c r="B884" s="1">
        <v>78</v>
      </c>
      <c r="C884" s="2">
        <f t="shared" si="63"/>
        <v>2.3280000000000003</v>
      </c>
      <c r="D884">
        <f t="shared" si="66"/>
        <v>3.1280000000000006</v>
      </c>
      <c r="E884" s="3">
        <v>13.8</v>
      </c>
      <c r="F884">
        <f t="shared" si="64"/>
        <v>2.3280000000000003</v>
      </c>
      <c r="G884">
        <f t="shared" si="65"/>
        <v>2.9846153846153849E-2</v>
      </c>
    </row>
    <row r="885" spans="1:7">
      <c r="A885" s="1">
        <v>20150613</v>
      </c>
      <c r="B885" s="1">
        <v>100</v>
      </c>
      <c r="C885" s="2">
        <f t="shared" si="63"/>
        <v>2.3280000000000003</v>
      </c>
      <c r="D885">
        <f t="shared" si="66"/>
        <v>3.1280000000000006</v>
      </c>
      <c r="E885" s="3">
        <v>13.8</v>
      </c>
      <c r="F885">
        <f t="shared" si="64"/>
        <v>2.3280000000000003</v>
      </c>
      <c r="G885">
        <f t="shared" si="65"/>
        <v>2.3280000000000002E-2</v>
      </c>
    </row>
    <row r="886" spans="1:7">
      <c r="A886" s="1">
        <v>20150613</v>
      </c>
      <c r="B886" s="1">
        <v>96</v>
      </c>
      <c r="C886" s="2">
        <f t="shared" si="63"/>
        <v>2.3280000000000003</v>
      </c>
      <c r="D886">
        <f t="shared" si="66"/>
        <v>3.1280000000000006</v>
      </c>
      <c r="E886" s="3">
        <v>13.8</v>
      </c>
      <c r="F886">
        <f t="shared" si="64"/>
        <v>2.3280000000000003</v>
      </c>
      <c r="G886">
        <f t="shared" si="65"/>
        <v>2.4250000000000004E-2</v>
      </c>
    </row>
    <row r="887" spans="1:7">
      <c r="A887" s="1">
        <v>20150613</v>
      </c>
      <c r="B887" s="1">
        <v>5</v>
      </c>
      <c r="C887" s="2">
        <f t="shared" si="63"/>
        <v>1.2173333333333336</v>
      </c>
      <c r="D887">
        <f t="shared" si="66"/>
        <v>2.0173333333333336</v>
      </c>
      <c r="E887" s="3">
        <v>8.9</v>
      </c>
      <c r="F887">
        <f t="shared" si="64"/>
        <v>1.2173333333333336</v>
      </c>
      <c r="G887">
        <f t="shared" si="65"/>
        <v>0.24346666666666672</v>
      </c>
    </row>
    <row r="888" spans="1:7">
      <c r="A888" s="1">
        <v>20150613</v>
      </c>
      <c r="B888" s="1">
        <v>4</v>
      </c>
      <c r="C888" s="2">
        <f t="shared" si="63"/>
        <v>1.2173333333333336</v>
      </c>
      <c r="D888">
        <f t="shared" si="66"/>
        <v>2.0173333333333336</v>
      </c>
      <c r="E888" s="3">
        <v>8.9</v>
      </c>
      <c r="F888">
        <f t="shared" si="64"/>
        <v>1.2173333333333336</v>
      </c>
      <c r="G888">
        <f t="shared" si="65"/>
        <v>0.3043333333333334</v>
      </c>
    </row>
    <row r="889" spans="1:7">
      <c r="A889" s="1">
        <v>20150613</v>
      </c>
      <c r="B889" s="1">
        <v>10</v>
      </c>
      <c r="C889" s="2">
        <f t="shared" si="63"/>
        <v>1.2173333333333336</v>
      </c>
      <c r="D889">
        <f t="shared" si="66"/>
        <v>2.0173333333333336</v>
      </c>
      <c r="E889" s="3">
        <v>8.9</v>
      </c>
      <c r="F889">
        <f t="shared" si="64"/>
        <v>1.2173333333333336</v>
      </c>
      <c r="G889">
        <f t="shared" si="65"/>
        <v>0.12173333333333336</v>
      </c>
    </row>
    <row r="890" spans="1:7">
      <c r="A890" s="1">
        <v>20150613</v>
      </c>
      <c r="B890" s="1">
        <v>11</v>
      </c>
      <c r="C890" s="2">
        <f t="shared" si="63"/>
        <v>1.2173333333333336</v>
      </c>
      <c r="D890">
        <f t="shared" si="66"/>
        <v>2.0173333333333336</v>
      </c>
      <c r="E890" s="3">
        <v>8.9</v>
      </c>
      <c r="F890">
        <f t="shared" si="64"/>
        <v>1.2173333333333336</v>
      </c>
      <c r="G890">
        <f t="shared" si="65"/>
        <v>0.11066666666666669</v>
      </c>
    </row>
    <row r="891" spans="1:7">
      <c r="A891" s="1">
        <v>20150613</v>
      </c>
      <c r="B891" s="1">
        <v>7</v>
      </c>
      <c r="C891" s="2">
        <f t="shared" si="63"/>
        <v>1.2173333333333336</v>
      </c>
      <c r="D891">
        <f t="shared" si="66"/>
        <v>2.0173333333333336</v>
      </c>
      <c r="E891" s="3">
        <v>8.9</v>
      </c>
      <c r="F891">
        <f t="shared" si="64"/>
        <v>1.2173333333333336</v>
      </c>
      <c r="G891">
        <f t="shared" si="65"/>
        <v>0.17390476190476195</v>
      </c>
    </row>
    <row r="892" spans="1:7">
      <c r="A892" s="1">
        <v>20150613</v>
      </c>
      <c r="B892" s="1">
        <v>105</v>
      </c>
      <c r="C892" s="2">
        <f t="shared" si="63"/>
        <v>2.8493333333333339</v>
      </c>
      <c r="D892">
        <f t="shared" si="66"/>
        <v>3.6493333333333338</v>
      </c>
      <c r="E892" s="3">
        <v>16.100000000000001</v>
      </c>
      <c r="F892">
        <f t="shared" si="64"/>
        <v>2.8493333333333339</v>
      </c>
      <c r="G892">
        <f t="shared" si="65"/>
        <v>2.7136507936507941E-2</v>
      </c>
    </row>
    <row r="893" spans="1:7">
      <c r="A893" s="1">
        <v>20150613</v>
      </c>
      <c r="B893" s="1">
        <v>90</v>
      </c>
      <c r="C893" s="2">
        <f t="shared" si="63"/>
        <v>2.8493333333333339</v>
      </c>
      <c r="D893">
        <f t="shared" si="66"/>
        <v>3.6493333333333338</v>
      </c>
      <c r="E893" s="3">
        <v>16.100000000000001</v>
      </c>
      <c r="F893">
        <f t="shared" si="64"/>
        <v>2.8493333333333339</v>
      </c>
      <c r="G893">
        <f t="shared" si="65"/>
        <v>3.1659259259259269E-2</v>
      </c>
    </row>
    <row r="894" spans="1:7">
      <c r="A894" s="1">
        <v>20150613</v>
      </c>
      <c r="B894" s="1">
        <v>101</v>
      </c>
      <c r="C894" s="2">
        <f t="shared" si="63"/>
        <v>2.8493333333333339</v>
      </c>
      <c r="D894">
        <f t="shared" si="66"/>
        <v>3.6493333333333338</v>
      </c>
      <c r="E894" s="3">
        <v>16.100000000000001</v>
      </c>
      <c r="F894">
        <f t="shared" si="64"/>
        <v>2.8493333333333339</v>
      </c>
      <c r="G894">
        <f t="shared" si="65"/>
        <v>2.8211221122112218E-2</v>
      </c>
    </row>
    <row r="895" spans="1:7">
      <c r="A895" s="1">
        <v>20150613</v>
      </c>
      <c r="B895" s="1">
        <v>99</v>
      </c>
      <c r="C895" s="2">
        <f t="shared" si="63"/>
        <v>2.8493333333333339</v>
      </c>
      <c r="D895">
        <f t="shared" si="66"/>
        <v>3.6493333333333338</v>
      </c>
      <c r="E895" s="3">
        <v>16.100000000000001</v>
      </c>
      <c r="F895">
        <f t="shared" si="64"/>
        <v>2.8493333333333339</v>
      </c>
      <c r="G895">
        <f t="shared" si="65"/>
        <v>2.8781144781144786E-2</v>
      </c>
    </row>
    <row r="896" spans="1:7">
      <c r="A896" s="1">
        <v>20150613</v>
      </c>
      <c r="B896" s="1">
        <v>101</v>
      </c>
      <c r="C896" s="2">
        <f t="shared" ref="C896:C946" si="67">D896-$S$48</f>
        <v>2.8493333333333339</v>
      </c>
      <c r="D896">
        <f t="shared" si="66"/>
        <v>3.6493333333333338</v>
      </c>
      <c r="E896" s="3">
        <v>16.100000000000001</v>
      </c>
      <c r="F896">
        <f t="shared" si="64"/>
        <v>2.8493333333333339</v>
      </c>
      <c r="G896">
        <f t="shared" si="65"/>
        <v>2.8211221122112218E-2</v>
      </c>
    </row>
    <row r="897" spans="1:7">
      <c r="A897" s="1">
        <v>20150613</v>
      </c>
      <c r="B897" s="1">
        <v>83</v>
      </c>
      <c r="C897" s="2">
        <f t="shared" si="67"/>
        <v>2.1920000000000002</v>
      </c>
      <c r="D897">
        <f t="shared" si="66"/>
        <v>2.992</v>
      </c>
      <c r="E897" s="3">
        <v>13.2</v>
      </c>
      <c r="F897">
        <f t="shared" si="64"/>
        <v>2.1920000000000002</v>
      </c>
      <c r="G897">
        <f t="shared" si="65"/>
        <v>2.6409638554216869E-2</v>
      </c>
    </row>
    <row r="898" spans="1:7">
      <c r="A898" s="1">
        <v>20150613</v>
      </c>
      <c r="B898" s="1">
        <v>65</v>
      </c>
      <c r="C898" s="2">
        <f t="shared" si="67"/>
        <v>2.1920000000000002</v>
      </c>
      <c r="D898">
        <f t="shared" si="66"/>
        <v>2.992</v>
      </c>
      <c r="E898" s="3">
        <v>13.2</v>
      </c>
      <c r="F898">
        <f t="shared" si="64"/>
        <v>2.1920000000000002</v>
      </c>
      <c r="G898">
        <f t="shared" si="65"/>
        <v>3.3723076923076925E-2</v>
      </c>
    </row>
    <row r="899" spans="1:7">
      <c r="A899" s="1">
        <v>20150613</v>
      </c>
      <c r="B899" s="1">
        <v>50</v>
      </c>
      <c r="C899" s="2">
        <f t="shared" si="67"/>
        <v>2.1920000000000002</v>
      </c>
      <c r="D899">
        <f t="shared" si="66"/>
        <v>2.992</v>
      </c>
      <c r="E899" s="3">
        <v>13.2</v>
      </c>
      <c r="F899">
        <f t="shared" si="64"/>
        <v>2.1920000000000002</v>
      </c>
      <c r="G899">
        <f t="shared" si="65"/>
        <v>4.3840000000000004E-2</v>
      </c>
    </row>
    <row r="900" spans="1:7">
      <c r="A900" s="1">
        <v>20150613</v>
      </c>
      <c r="B900" s="1">
        <v>69</v>
      </c>
      <c r="C900" s="2">
        <f t="shared" si="67"/>
        <v>2.1920000000000002</v>
      </c>
      <c r="D900">
        <f t="shared" si="66"/>
        <v>2.992</v>
      </c>
      <c r="E900" s="3">
        <v>13.2</v>
      </c>
      <c r="F900">
        <f t="shared" si="64"/>
        <v>2.1920000000000002</v>
      </c>
      <c r="G900">
        <f t="shared" si="65"/>
        <v>3.1768115942028989E-2</v>
      </c>
    </row>
    <row r="901" spans="1:7">
      <c r="A901" s="1">
        <v>20150613</v>
      </c>
      <c r="B901" s="1">
        <v>59</v>
      </c>
      <c r="C901" s="2">
        <f t="shared" si="67"/>
        <v>2.1920000000000002</v>
      </c>
      <c r="D901">
        <f t="shared" si="66"/>
        <v>2.992</v>
      </c>
      <c r="E901" s="3">
        <v>13.2</v>
      </c>
      <c r="F901">
        <f t="shared" si="64"/>
        <v>2.1920000000000002</v>
      </c>
      <c r="G901">
        <f t="shared" si="65"/>
        <v>3.7152542372881361E-2</v>
      </c>
    </row>
    <row r="902" spans="1:7">
      <c r="A902" s="1">
        <v>20150613</v>
      </c>
      <c r="B902" s="1">
        <v>55</v>
      </c>
      <c r="C902" s="2">
        <f t="shared" si="67"/>
        <v>2.532</v>
      </c>
      <c r="D902">
        <f t="shared" si="66"/>
        <v>3.3320000000000003</v>
      </c>
      <c r="E902" s="3">
        <v>14.7</v>
      </c>
      <c r="F902">
        <f t="shared" si="64"/>
        <v>2.532</v>
      </c>
      <c r="G902">
        <f t="shared" si="65"/>
        <v>4.6036363636363639E-2</v>
      </c>
    </row>
    <row r="903" spans="1:7">
      <c r="A903" s="1">
        <v>20150613</v>
      </c>
      <c r="B903" s="1">
        <v>37</v>
      </c>
      <c r="C903" s="2">
        <f t="shared" si="67"/>
        <v>2.532</v>
      </c>
      <c r="D903">
        <f t="shared" si="66"/>
        <v>3.3320000000000003</v>
      </c>
      <c r="E903" s="3">
        <v>14.7</v>
      </c>
      <c r="F903">
        <f t="shared" si="64"/>
        <v>2.532</v>
      </c>
      <c r="G903">
        <f t="shared" si="65"/>
        <v>6.8432432432432438E-2</v>
      </c>
    </row>
    <row r="904" spans="1:7">
      <c r="A904" s="1">
        <v>20150613</v>
      </c>
      <c r="B904" s="1">
        <v>30</v>
      </c>
      <c r="C904" s="2">
        <f t="shared" si="67"/>
        <v>2.532</v>
      </c>
      <c r="D904">
        <f t="shared" si="66"/>
        <v>3.3320000000000003</v>
      </c>
      <c r="E904" s="3">
        <v>14.7</v>
      </c>
      <c r="F904">
        <f t="shared" si="64"/>
        <v>2.532</v>
      </c>
      <c r="G904">
        <f t="shared" si="65"/>
        <v>8.4400000000000003E-2</v>
      </c>
    </row>
    <row r="905" spans="1:7">
      <c r="A905" s="1">
        <v>20150613</v>
      </c>
      <c r="B905" s="1">
        <v>86</v>
      </c>
      <c r="C905" s="2">
        <f t="shared" si="67"/>
        <v>2.532</v>
      </c>
      <c r="D905">
        <f t="shared" si="66"/>
        <v>3.3320000000000003</v>
      </c>
      <c r="E905" s="3">
        <v>14.7</v>
      </c>
      <c r="F905">
        <f t="shared" si="64"/>
        <v>2.532</v>
      </c>
      <c r="G905">
        <f t="shared" si="65"/>
        <v>2.9441860465116279E-2</v>
      </c>
    </row>
    <row r="906" spans="1:7">
      <c r="A906" s="1">
        <v>20150613</v>
      </c>
      <c r="B906" s="1">
        <v>50</v>
      </c>
      <c r="C906" s="2">
        <f t="shared" si="67"/>
        <v>2.532</v>
      </c>
      <c r="D906">
        <f t="shared" si="66"/>
        <v>3.3320000000000003</v>
      </c>
      <c r="E906" s="3">
        <v>14.7</v>
      </c>
      <c r="F906">
        <f t="shared" si="64"/>
        <v>2.532</v>
      </c>
      <c r="G906">
        <f t="shared" si="65"/>
        <v>5.0639999999999998E-2</v>
      </c>
    </row>
    <row r="907" spans="1:7">
      <c r="A907" s="1">
        <v>20150613</v>
      </c>
      <c r="B907" s="1">
        <v>66</v>
      </c>
      <c r="C907" s="2">
        <f t="shared" si="67"/>
        <v>2.1920000000000002</v>
      </c>
      <c r="D907">
        <f t="shared" si="66"/>
        <v>2.992</v>
      </c>
      <c r="E907" s="3">
        <v>13.2</v>
      </c>
      <c r="F907">
        <f t="shared" si="64"/>
        <v>2.1920000000000002</v>
      </c>
      <c r="G907">
        <f t="shared" si="65"/>
        <v>3.3212121212121214E-2</v>
      </c>
    </row>
    <row r="908" spans="1:7">
      <c r="A908" s="1">
        <v>20150613</v>
      </c>
      <c r="B908" s="1">
        <v>77</v>
      </c>
      <c r="C908" s="2">
        <f t="shared" si="67"/>
        <v>2.1920000000000002</v>
      </c>
      <c r="D908">
        <f t="shared" si="66"/>
        <v>2.992</v>
      </c>
      <c r="E908" s="3">
        <v>13.2</v>
      </c>
      <c r="F908">
        <f t="shared" si="64"/>
        <v>2.1920000000000002</v>
      </c>
      <c r="G908">
        <f t="shared" si="65"/>
        <v>2.8467532467532471E-2</v>
      </c>
    </row>
    <row r="909" spans="1:7">
      <c r="A909" s="1">
        <v>20150613</v>
      </c>
      <c r="B909" s="1">
        <v>64</v>
      </c>
      <c r="C909" s="2">
        <f t="shared" si="67"/>
        <v>2.1920000000000002</v>
      </c>
      <c r="D909">
        <f t="shared" si="66"/>
        <v>2.992</v>
      </c>
      <c r="E909" s="3">
        <v>13.2</v>
      </c>
      <c r="F909">
        <f t="shared" si="64"/>
        <v>2.1920000000000002</v>
      </c>
      <c r="G909">
        <f t="shared" si="65"/>
        <v>3.4250000000000003E-2</v>
      </c>
    </row>
    <row r="910" spans="1:7">
      <c r="A910" s="1">
        <v>20150613</v>
      </c>
      <c r="B910" s="1">
        <v>55</v>
      </c>
      <c r="C910" s="2">
        <f t="shared" si="67"/>
        <v>2.1920000000000002</v>
      </c>
      <c r="D910">
        <f t="shared" si="66"/>
        <v>2.992</v>
      </c>
      <c r="E910" s="3">
        <v>13.2</v>
      </c>
      <c r="F910">
        <f t="shared" si="64"/>
        <v>2.1920000000000002</v>
      </c>
      <c r="G910">
        <f t="shared" si="65"/>
        <v>3.9854545454545455E-2</v>
      </c>
    </row>
    <row r="911" spans="1:7">
      <c r="A911" s="1">
        <v>20150613</v>
      </c>
      <c r="B911" s="1">
        <v>67</v>
      </c>
      <c r="C911" s="2">
        <f t="shared" si="67"/>
        <v>2.1920000000000002</v>
      </c>
      <c r="D911">
        <f t="shared" si="66"/>
        <v>2.992</v>
      </c>
      <c r="E911" s="3">
        <v>13.2</v>
      </c>
      <c r="F911">
        <f t="shared" si="64"/>
        <v>2.1920000000000002</v>
      </c>
      <c r="G911">
        <f t="shared" si="65"/>
        <v>3.2716417910447763E-2</v>
      </c>
    </row>
    <row r="912" spans="1:7">
      <c r="A912" s="1">
        <v>20150613</v>
      </c>
      <c r="B912" s="1">
        <v>97</v>
      </c>
      <c r="C912" s="2">
        <f t="shared" si="67"/>
        <v>2.3280000000000003</v>
      </c>
      <c r="D912">
        <f t="shared" si="66"/>
        <v>3.1280000000000006</v>
      </c>
      <c r="E912" s="3">
        <v>13.8</v>
      </c>
      <c r="F912">
        <f t="shared" si="64"/>
        <v>2.3280000000000003</v>
      </c>
      <c r="G912">
        <f t="shared" si="65"/>
        <v>2.4000000000000004E-2</v>
      </c>
    </row>
    <row r="913" spans="1:7">
      <c r="A913" s="1">
        <v>20150613</v>
      </c>
      <c r="B913" s="1">
        <v>101</v>
      </c>
      <c r="C913" s="2">
        <f t="shared" si="67"/>
        <v>2.3280000000000003</v>
      </c>
      <c r="D913">
        <f t="shared" si="66"/>
        <v>3.1280000000000006</v>
      </c>
      <c r="E913" s="3">
        <v>13.8</v>
      </c>
      <c r="F913">
        <f t="shared" si="64"/>
        <v>2.3280000000000003</v>
      </c>
      <c r="G913">
        <f t="shared" si="65"/>
        <v>2.3049504950495053E-2</v>
      </c>
    </row>
    <row r="914" spans="1:7">
      <c r="A914" s="1">
        <v>20150613</v>
      </c>
      <c r="B914" s="1">
        <v>88</v>
      </c>
      <c r="C914" s="2">
        <f t="shared" si="67"/>
        <v>2.3280000000000003</v>
      </c>
      <c r="D914">
        <f t="shared" si="66"/>
        <v>3.1280000000000006</v>
      </c>
      <c r="E914" s="3">
        <v>13.8</v>
      </c>
      <c r="F914">
        <f t="shared" si="64"/>
        <v>2.3280000000000003</v>
      </c>
      <c r="G914">
        <f t="shared" si="65"/>
        <v>2.6454545454545456E-2</v>
      </c>
    </row>
    <row r="915" spans="1:7">
      <c r="A915" s="1">
        <v>20150613</v>
      </c>
      <c r="B915" s="1">
        <v>92</v>
      </c>
      <c r="C915" s="2">
        <f t="shared" si="67"/>
        <v>2.3280000000000003</v>
      </c>
      <c r="D915">
        <f t="shared" si="66"/>
        <v>3.1280000000000006</v>
      </c>
      <c r="E915" s="3">
        <v>13.8</v>
      </c>
      <c r="F915">
        <f t="shared" si="64"/>
        <v>2.3280000000000003</v>
      </c>
      <c r="G915">
        <f t="shared" si="65"/>
        <v>2.5304347826086961E-2</v>
      </c>
    </row>
    <row r="916" spans="1:7">
      <c r="A916" s="1">
        <v>20150613</v>
      </c>
      <c r="B916" s="1">
        <v>103</v>
      </c>
      <c r="C916" s="2">
        <f t="shared" si="67"/>
        <v>2.3280000000000003</v>
      </c>
      <c r="D916">
        <f t="shared" si="66"/>
        <v>3.1280000000000006</v>
      </c>
      <c r="E916" s="3">
        <v>13.8</v>
      </c>
      <c r="F916">
        <f t="shared" si="64"/>
        <v>2.3280000000000003</v>
      </c>
      <c r="G916">
        <f t="shared" si="65"/>
        <v>2.260194174757282E-2</v>
      </c>
    </row>
    <row r="917" spans="1:7">
      <c r="A917" s="1">
        <v>20150613</v>
      </c>
      <c r="B917" s="1">
        <v>12</v>
      </c>
      <c r="C917" s="2">
        <f t="shared" si="67"/>
        <v>1.2173333333333336</v>
      </c>
      <c r="D917">
        <f t="shared" si="66"/>
        <v>2.0173333333333336</v>
      </c>
      <c r="E917" s="3">
        <v>8.9</v>
      </c>
      <c r="F917">
        <f t="shared" si="64"/>
        <v>1.2173333333333336</v>
      </c>
      <c r="G917">
        <f t="shared" si="65"/>
        <v>0.10144444444444446</v>
      </c>
    </row>
    <row r="918" spans="1:7">
      <c r="A918" s="1">
        <v>20150613</v>
      </c>
      <c r="B918" s="1">
        <v>25</v>
      </c>
      <c r="C918" s="2">
        <f t="shared" si="67"/>
        <v>1.2173333333333336</v>
      </c>
      <c r="D918">
        <f t="shared" si="66"/>
        <v>2.0173333333333336</v>
      </c>
      <c r="E918" s="3">
        <v>8.9</v>
      </c>
      <c r="F918">
        <f t="shared" si="64"/>
        <v>1.2173333333333336</v>
      </c>
      <c r="G918">
        <f t="shared" si="65"/>
        <v>4.8693333333333345E-2</v>
      </c>
    </row>
    <row r="919" spans="1:7">
      <c r="A919" s="1">
        <v>20150613</v>
      </c>
      <c r="B919" s="1">
        <v>5</v>
      </c>
      <c r="C919" s="2">
        <f t="shared" si="67"/>
        <v>1.2173333333333336</v>
      </c>
      <c r="D919">
        <f t="shared" si="66"/>
        <v>2.0173333333333336</v>
      </c>
      <c r="E919" s="3">
        <v>8.9</v>
      </c>
      <c r="F919">
        <f t="shared" si="64"/>
        <v>1.2173333333333336</v>
      </c>
      <c r="G919">
        <f t="shared" si="65"/>
        <v>0.24346666666666672</v>
      </c>
    </row>
    <row r="920" spans="1:7">
      <c r="A920" s="1">
        <v>20150613</v>
      </c>
      <c r="B920" s="1">
        <v>13</v>
      </c>
      <c r="C920" s="2">
        <f t="shared" si="67"/>
        <v>1.2173333333333336</v>
      </c>
      <c r="D920">
        <f t="shared" si="66"/>
        <v>2.0173333333333336</v>
      </c>
      <c r="E920" s="3">
        <v>8.9</v>
      </c>
      <c r="F920">
        <f t="shared" si="64"/>
        <v>1.2173333333333336</v>
      </c>
      <c r="G920">
        <f t="shared" si="65"/>
        <v>9.3641025641025666E-2</v>
      </c>
    </row>
    <row r="921" spans="1:7">
      <c r="A921" s="1">
        <v>20150613</v>
      </c>
      <c r="B921" s="1">
        <v>18</v>
      </c>
      <c r="C921" s="2">
        <f t="shared" si="67"/>
        <v>1.2173333333333336</v>
      </c>
      <c r="D921">
        <f t="shared" si="66"/>
        <v>2.0173333333333336</v>
      </c>
      <c r="E921" s="3">
        <v>8.9</v>
      </c>
      <c r="F921">
        <f t="shared" si="64"/>
        <v>1.2173333333333336</v>
      </c>
      <c r="G921">
        <f t="shared" si="65"/>
        <v>6.7629629629629651E-2</v>
      </c>
    </row>
    <row r="922" spans="1:7">
      <c r="A922" s="1">
        <v>20150613</v>
      </c>
      <c r="B922" s="1">
        <v>92</v>
      </c>
      <c r="C922" s="2">
        <f t="shared" si="67"/>
        <v>2.8493333333333339</v>
      </c>
      <c r="D922">
        <f t="shared" si="66"/>
        <v>3.6493333333333338</v>
      </c>
      <c r="E922" s="3">
        <v>16.100000000000001</v>
      </c>
      <c r="F922">
        <f t="shared" si="64"/>
        <v>2.8493333333333339</v>
      </c>
      <c r="G922">
        <f t="shared" si="65"/>
        <v>3.0971014492753631E-2</v>
      </c>
    </row>
    <row r="923" spans="1:7">
      <c r="A923" s="1">
        <v>20150613</v>
      </c>
      <c r="B923" s="1">
        <v>84</v>
      </c>
      <c r="C923" s="2">
        <f t="shared" si="67"/>
        <v>2.8493333333333339</v>
      </c>
      <c r="D923">
        <f t="shared" si="66"/>
        <v>3.6493333333333338</v>
      </c>
      <c r="E923" s="3">
        <v>16.100000000000001</v>
      </c>
      <c r="F923">
        <f t="shared" si="64"/>
        <v>2.8493333333333339</v>
      </c>
      <c r="G923">
        <f t="shared" si="65"/>
        <v>3.3920634920634928E-2</v>
      </c>
    </row>
    <row r="924" spans="1:7">
      <c r="A924" s="1">
        <v>20150613</v>
      </c>
      <c r="B924" s="1">
        <v>91</v>
      </c>
      <c r="C924" s="2">
        <f t="shared" si="67"/>
        <v>2.8493333333333339</v>
      </c>
      <c r="D924">
        <f t="shared" si="66"/>
        <v>3.6493333333333338</v>
      </c>
      <c r="E924" s="3">
        <v>16.100000000000001</v>
      </c>
      <c r="F924">
        <f t="shared" si="64"/>
        <v>2.8493333333333339</v>
      </c>
      <c r="G924">
        <f t="shared" si="65"/>
        <v>3.1311355311355316E-2</v>
      </c>
    </row>
    <row r="925" spans="1:7">
      <c r="A925" s="1">
        <v>20150613</v>
      </c>
      <c r="B925" s="1">
        <v>89</v>
      </c>
      <c r="C925" s="2">
        <f t="shared" si="67"/>
        <v>2.8493333333333339</v>
      </c>
      <c r="D925">
        <f t="shared" si="66"/>
        <v>3.6493333333333338</v>
      </c>
      <c r="E925" s="3">
        <v>16.100000000000001</v>
      </c>
      <c r="F925">
        <f t="shared" si="64"/>
        <v>2.8493333333333339</v>
      </c>
      <c r="G925">
        <f t="shared" si="65"/>
        <v>3.2014981273408245E-2</v>
      </c>
    </row>
    <row r="926" spans="1:7">
      <c r="A926" s="1">
        <v>20150613</v>
      </c>
      <c r="B926" s="1">
        <v>88</v>
      </c>
      <c r="C926" s="2">
        <f t="shared" si="67"/>
        <v>2.8493333333333339</v>
      </c>
      <c r="D926">
        <f t="shared" si="66"/>
        <v>3.6493333333333338</v>
      </c>
      <c r="E926" s="3">
        <v>16.100000000000001</v>
      </c>
      <c r="F926">
        <f t="shared" si="64"/>
        <v>2.8493333333333339</v>
      </c>
      <c r="G926">
        <f t="shared" si="65"/>
        <v>3.2378787878787889E-2</v>
      </c>
    </row>
    <row r="927" spans="1:7">
      <c r="A927" s="1">
        <v>20150613</v>
      </c>
      <c r="B927" s="1">
        <v>73</v>
      </c>
      <c r="C927" s="2">
        <f t="shared" si="67"/>
        <v>2.1920000000000002</v>
      </c>
      <c r="D927">
        <f t="shared" si="66"/>
        <v>2.992</v>
      </c>
      <c r="E927" s="3">
        <v>13.2</v>
      </c>
      <c r="F927">
        <f t="shared" si="64"/>
        <v>2.1920000000000002</v>
      </c>
      <c r="G927">
        <f t="shared" si="65"/>
        <v>3.0027397260273973E-2</v>
      </c>
    </row>
    <row r="928" spans="1:7">
      <c r="A928" s="1">
        <v>20150613</v>
      </c>
      <c r="B928" s="1">
        <v>78</v>
      </c>
      <c r="C928" s="2">
        <f t="shared" si="67"/>
        <v>2.1920000000000002</v>
      </c>
      <c r="D928">
        <f t="shared" si="66"/>
        <v>2.992</v>
      </c>
      <c r="E928" s="3">
        <v>13.2</v>
      </c>
      <c r="F928">
        <f t="shared" si="64"/>
        <v>2.1920000000000002</v>
      </c>
      <c r="G928">
        <f t="shared" si="65"/>
        <v>2.8102564102564103E-2</v>
      </c>
    </row>
    <row r="929" spans="1:7">
      <c r="A929" s="1">
        <v>20150613</v>
      </c>
      <c r="B929" s="1">
        <v>51</v>
      </c>
      <c r="C929" s="2">
        <f t="shared" si="67"/>
        <v>2.1920000000000002</v>
      </c>
      <c r="D929">
        <f t="shared" si="66"/>
        <v>2.992</v>
      </c>
      <c r="E929" s="3">
        <v>13.2</v>
      </c>
      <c r="F929">
        <f t="shared" si="64"/>
        <v>2.1920000000000002</v>
      </c>
      <c r="G929">
        <f t="shared" si="65"/>
        <v>4.2980392156862751E-2</v>
      </c>
    </row>
    <row r="930" spans="1:7">
      <c r="A930" s="1">
        <v>20150613</v>
      </c>
      <c r="B930" s="1">
        <v>64</v>
      </c>
      <c r="C930" s="2">
        <f t="shared" si="67"/>
        <v>2.1920000000000002</v>
      </c>
      <c r="D930">
        <f t="shared" si="66"/>
        <v>2.992</v>
      </c>
      <c r="E930" s="3">
        <v>13.2</v>
      </c>
      <c r="F930">
        <f t="shared" si="64"/>
        <v>2.1920000000000002</v>
      </c>
      <c r="G930">
        <f t="shared" si="65"/>
        <v>3.4250000000000003E-2</v>
      </c>
    </row>
    <row r="931" spans="1:7">
      <c r="A931" s="1">
        <v>20150613</v>
      </c>
      <c r="B931" s="1">
        <v>54</v>
      </c>
      <c r="C931" s="2">
        <f t="shared" si="67"/>
        <v>2.1920000000000002</v>
      </c>
      <c r="D931">
        <f t="shared" si="66"/>
        <v>2.992</v>
      </c>
      <c r="E931" s="3">
        <v>13.2</v>
      </c>
      <c r="F931">
        <f t="shared" si="64"/>
        <v>2.1920000000000002</v>
      </c>
      <c r="G931">
        <f t="shared" si="65"/>
        <v>4.0592592592592597E-2</v>
      </c>
    </row>
    <row r="932" spans="1:7">
      <c r="A932" s="1">
        <v>20150613</v>
      </c>
      <c r="B932" s="1">
        <v>60</v>
      </c>
      <c r="C932" s="2">
        <f t="shared" si="67"/>
        <v>2.532</v>
      </c>
      <c r="D932">
        <f t="shared" si="66"/>
        <v>3.3320000000000003</v>
      </c>
      <c r="E932" s="3">
        <v>14.7</v>
      </c>
      <c r="F932">
        <f t="shared" si="64"/>
        <v>2.532</v>
      </c>
      <c r="G932">
        <f t="shared" si="65"/>
        <v>4.2200000000000001E-2</v>
      </c>
    </row>
    <row r="933" spans="1:7">
      <c r="A933" s="1">
        <v>20150613</v>
      </c>
      <c r="B933" s="1">
        <v>58</v>
      </c>
      <c r="C933" s="2">
        <f t="shared" si="67"/>
        <v>2.532</v>
      </c>
      <c r="D933">
        <f t="shared" si="66"/>
        <v>3.3320000000000003</v>
      </c>
      <c r="E933" s="3">
        <v>14.7</v>
      </c>
      <c r="F933">
        <f t="shared" si="64"/>
        <v>2.532</v>
      </c>
      <c r="G933">
        <f t="shared" si="65"/>
        <v>4.3655172413793103E-2</v>
      </c>
    </row>
    <row r="934" spans="1:7">
      <c r="A934" s="1">
        <v>20150613</v>
      </c>
      <c r="B934" s="1">
        <v>50</v>
      </c>
      <c r="C934" s="2">
        <f t="shared" si="67"/>
        <v>2.532</v>
      </c>
      <c r="D934">
        <f t="shared" si="66"/>
        <v>3.3320000000000003</v>
      </c>
      <c r="E934" s="3">
        <v>14.7</v>
      </c>
      <c r="F934">
        <f t="shared" si="64"/>
        <v>2.532</v>
      </c>
      <c r="G934">
        <f t="shared" si="65"/>
        <v>5.0639999999999998E-2</v>
      </c>
    </row>
    <row r="935" spans="1:7">
      <c r="A935" s="1">
        <v>20150613</v>
      </c>
      <c r="B935" s="1">
        <v>85</v>
      </c>
      <c r="C935" s="2">
        <f t="shared" si="67"/>
        <v>2.532</v>
      </c>
      <c r="D935">
        <f t="shared" si="66"/>
        <v>3.3320000000000003</v>
      </c>
      <c r="E935" s="3">
        <v>14.7</v>
      </c>
      <c r="F935">
        <f t="shared" si="64"/>
        <v>2.532</v>
      </c>
      <c r="G935">
        <f t="shared" si="65"/>
        <v>2.9788235294117647E-2</v>
      </c>
    </row>
    <row r="936" spans="1:7">
      <c r="A936" s="1">
        <v>20150613</v>
      </c>
      <c r="B936" s="1">
        <v>83</v>
      </c>
      <c r="C936" s="2">
        <f t="shared" si="67"/>
        <v>2.532</v>
      </c>
      <c r="D936">
        <f t="shared" si="66"/>
        <v>3.3320000000000003</v>
      </c>
      <c r="E936" s="3">
        <v>14.7</v>
      </c>
      <c r="F936">
        <f t="shared" si="64"/>
        <v>2.532</v>
      </c>
      <c r="G936">
        <f t="shared" si="65"/>
        <v>3.0506024096385542E-2</v>
      </c>
    </row>
    <row r="937" spans="1:7">
      <c r="A937" s="1">
        <v>20150613</v>
      </c>
      <c r="B937" s="1">
        <v>64</v>
      </c>
      <c r="C937" s="2">
        <f t="shared" si="67"/>
        <v>2.1920000000000002</v>
      </c>
      <c r="D937">
        <f t="shared" si="66"/>
        <v>2.992</v>
      </c>
      <c r="E937" s="3">
        <v>13.2</v>
      </c>
      <c r="F937">
        <f t="shared" ref="F937:F1000" si="68">C937</f>
        <v>2.1920000000000002</v>
      </c>
      <c r="G937">
        <f t="shared" ref="G937:G1000" si="69">F937/B937</f>
        <v>3.4250000000000003E-2</v>
      </c>
    </row>
    <row r="938" spans="1:7">
      <c r="A938" s="1">
        <v>20150613</v>
      </c>
      <c r="B938" s="1">
        <v>62</v>
      </c>
      <c r="C938" s="2">
        <f t="shared" si="67"/>
        <v>2.1920000000000002</v>
      </c>
      <c r="D938">
        <f t="shared" si="66"/>
        <v>2.992</v>
      </c>
      <c r="E938" s="3">
        <v>13.2</v>
      </c>
      <c r="F938">
        <f t="shared" si="68"/>
        <v>2.1920000000000002</v>
      </c>
      <c r="G938">
        <f t="shared" si="69"/>
        <v>3.5354838709677421E-2</v>
      </c>
    </row>
    <row r="939" spans="1:7">
      <c r="A939" s="1">
        <v>20150613</v>
      </c>
      <c r="B939" s="1">
        <v>65</v>
      </c>
      <c r="C939" s="2">
        <f t="shared" si="67"/>
        <v>2.1920000000000002</v>
      </c>
      <c r="D939">
        <f t="shared" si="66"/>
        <v>2.992</v>
      </c>
      <c r="E939" s="3">
        <v>13.2</v>
      </c>
      <c r="F939">
        <f t="shared" si="68"/>
        <v>2.1920000000000002</v>
      </c>
      <c r="G939">
        <f t="shared" si="69"/>
        <v>3.3723076923076925E-2</v>
      </c>
    </row>
    <row r="940" spans="1:7">
      <c r="A940" s="1">
        <v>20150613</v>
      </c>
      <c r="B940" s="1">
        <v>49</v>
      </c>
      <c r="C940" s="2">
        <f t="shared" si="67"/>
        <v>2.1920000000000002</v>
      </c>
      <c r="D940">
        <f t="shared" si="66"/>
        <v>2.992</v>
      </c>
      <c r="E940" s="3">
        <v>13.2</v>
      </c>
      <c r="F940">
        <f t="shared" si="68"/>
        <v>2.1920000000000002</v>
      </c>
      <c r="G940">
        <f t="shared" si="69"/>
        <v>4.4734693877551024E-2</v>
      </c>
    </row>
    <row r="941" spans="1:7">
      <c r="A941" s="1">
        <v>20150613</v>
      </c>
      <c r="B941" s="1">
        <v>59</v>
      </c>
      <c r="C941" s="2">
        <f t="shared" si="67"/>
        <v>2.1920000000000002</v>
      </c>
      <c r="D941">
        <f t="shared" si="66"/>
        <v>2.992</v>
      </c>
      <c r="E941" s="3">
        <v>13.2</v>
      </c>
      <c r="F941">
        <f t="shared" si="68"/>
        <v>2.1920000000000002</v>
      </c>
      <c r="G941">
        <f t="shared" si="69"/>
        <v>3.7152542372881361E-2</v>
      </c>
    </row>
    <row r="942" spans="1:7">
      <c r="A942" s="1">
        <v>20150613</v>
      </c>
      <c r="B942" s="1">
        <v>91</v>
      </c>
      <c r="C942" s="2">
        <f t="shared" si="67"/>
        <v>2.3280000000000003</v>
      </c>
      <c r="D942">
        <f t="shared" si="66"/>
        <v>3.1280000000000006</v>
      </c>
      <c r="E942" s="3">
        <v>13.8</v>
      </c>
      <c r="F942">
        <f t="shared" si="68"/>
        <v>2.3280000000000003</v>
      </c>
      <c r="G942">
        <f t="shared" si="69"/>
        <v>2.5582417582417586E-2</v>
      </c>
    </row>
    <row r="943" spans="1:7">
      <c r="A943" s="1">
        <v>20150613</v>
      </c>
      <c r="B943" s="1">
        <v>82</v>
      </c>
      <c r="C943" s="2">
        <f t="shared" si="67"/>
        <v>2.3280000000000003</v>
      </c>
      <c r="D943">
        <f t="shared" si="66"/>
        <v>3.1280000000000006</v>
      </c>
      <c r="E943" s="3">
        <v>13.8</v>
      </c>
      <c r="F943">
        <f t="shared" si="68"/>
        <v>2.3280000000000003</v>
      </c>
      <c r="G943">
        <f t="shared" si="69"/>
        <v>2.8390243902439029E-2</v>
      </c>
    </row>
    <row r="944" spans="1:7">
      <c r="A944" s="1">
        <v>20150613</v>
      </c>
      <c r="B944" s="1">
        <v>77</v>
      </c>
      <c r="C944" s="2">
        <f t="shared" si="67"/>
        <v>2.3280000000000003</v>
      </c>
      <c r="D944">
        <f t="shared" si="66"/>
        <v>3.1280000000000006</v>
      </c>
      <c r="E944" s="3">
        <v>13.8</v>
      </c>
      <c r="F944">
        <f t="shared" si="68"/>
        <v>2.3280000000000003</v>
      </c>
      <c r="G944">
        <f t="shared" si="69"/>
        <v>3.0233766233766238E-2</v>
      </c>
    </row>
    <row r="945" spans="1:7">
      <c r="A945" s="1">
        <v>20150613</v>
      </c>
      <c r="B945" s="1">
        <v>74</v>
      </c>
      <c r="C945" s="2">
        <f t="shared" si="67"/>
        <v>2.3280000000000003</v>
      </c>
      <c r="D945">
        <f t="shared" si="66"/>
        <v>3.1280000000000006</v>
      </c>
      <c r="E945" s="3">
        <v>13.8</v>
      </c>
      <c r="F945">
        <f t="shared" si="68"/>
        <v>2.3280000000000003</v>
      </c>
      <c r="G945">
        <f t="shared" si="69"/>
        <v>3.1459459459459466E-2</v>
      </c>
    </row>
    <row r="946" spans="1:7">
      <c r="A946" s="1">
        <v>20150613</v>
      </c>
      <c r="B946" s="1">
        <v>79</v>
      </c>
      <c r="C946" s="2">
        <f t="shared" si="67"/>
        <v>2.3280000000000003</v>
      </c>
      <c r="D946">
        <f t="shared" ref="D946:D1009" si="70">0.17*($H$3/12)*E946</f>
        <v>3.1280000000000006</v>
      </c>
      <c r="E946" s="3">
        <v>13.8</v>
      </c>
      <c r="F946">
        <f t="shared" si="68"/>
        <v>2.3280000000000003</v>
      </c>
      <c r="G946">
        <f t="shared" si="69"/>
        <v>2.9468354430379751E-2</v>
      </c>
    </row>
    <row r="947" spans="1:7">
      <c r="A947" s="1">
        <v>20150611</v>
      </c>
      <c r="B947" s="1">
        <v>5</v>
      </c>
      <c r="C947" s="2">
        <f>D947-$S$46</f>
        <v>1.2640000000000002</v>
      </c>
      <c r="D947">
        <f t="shared" si="70"/>
        <v>1.5640000000000003</v>
      </c>
      <c r="E947" s="3">
        <v>6.9</v>
      </c>
      <c r="F947">
        <f t="shared" si="68"/>
        <v>1.2640000000000002</v>
      </c>
      <c r="G947">
        <f t="shared" si="69"/>
        <v>0.25280000000000002</v>
      </c>
    </row>
    <row r="948" spans="1:7">
      <c r="A948" s="1">
        <v>20150611</v>
      </c>
      <c r="B948" s="1">
        <v>17</v>
      </c>
      <c r="C948" s="2">
        <f t="shared" ref="C948:C1011" si="71">D948-$S$46</f>
        <v>1.6266666666666667</v>
      </c>
      <c r="D948">
        <f t="shared" si="70"/>
        <v>1.9266666666666667</v>
      </c>
      <c r="E948" s="3">
        <v>8.5</v>
      </c>
      <c r="F948">
        <f t="shared" si="68"/>
        <v>1.6266666666666667</v>
      </c>
      <c r="G948">
        <f t="shared" si="69"/>
        <v>9.5686274509803923E-2</v>
      </c>
    </row>
    <row r="949" spans="1:7">
      <c r="A949" s="1">
        <v>20150611</v>
      </c>
      <c r="B949" s="1">
        <v>21</v>
      </c>
      <c r="C949" s="2">
        <f t="shared" si="71"/>
        <v>1.1506666666666667</v>
      </c>
      <c r="D949">
        <f t="shared" si="70"/>
        <v>1.4506666666666668</v>
      </c>
      <c r="E949" s="3">
        <v>6.4</v>
      </c>
      <c r="F949">
        <f t="shared" si="68"/>
        <v>1.1506666666666667</v>
      </c>
      <c r="G949">
        <f t="shared" si="69"/>
        <v>5.4793650793650797E-2</v>
      </c>
    </row>
    <row r="950" spans="1:7">
      <c r="A950" s="1">
        <v>20150611</v>
      </c>
      <c r="B950" s="1">
        <v>34</v>
      </c>
      <c r="C950" s="2">
        <f t="shared" si="71"/>
        <v>1.0826666666666667</v>
      </c>
      <c r="D950">
        <f t="shared" si="70"/>
        <v>1.3826666666666667</v>
      </c>
      <c r="E950" s="3">
        <v>6.1</v>
      </c>
      <c r="F950">
        <f t="shared" si="68"/>
        <v>1.0826666666666667</v>
      </c>
      <c r="G950">
        <f t="shared" si="69"/>
        <v>3.1843137254901961E-2</v>
      </c>
    </row>
    <row r="951" spans="1:7">
      <c r="A951" s="1">
        <v>20150611</v>
      </c>
      <c r="B951" s="1">
        <v>25</v>
      </c>
      <c r="C951" s="2">
        <f t="shared" si="71"/>
        <v>0.78800000000000003</v>
      </c>
      <c r="D951">
        <f t="shared" si="70"/>
        <v>1.0880000000000001</v>
      </c>
      <c r="E951" s="3">
        <v>4.8</v>
      </c>
      <c r="F951">
        <f t="shared" si="68"/>
        <v>0.78800000000000003</v>
      </c>
      <c r="G951">
        <f t="shared" si="69"/>
        <v>3.1519999999999999E-2</v>
      </c>
    </row>
    <row r="952" spans="1:7">
      <c r="A952" s="1">
        <v>20150611</v>
      </c>
      <c r="B952" s="1">
        <v>27</v>
      </c>
      <c r="C952" s="2">
        <f t="shared" si="71"/>
        <v>1.3773333333333335</v>
      </c>
      <c r="D952">
        <f t="shared" si="70"/>
        <v>1.6773333333333336</v>
      </c>
      <c r="E952" s="3">
        <v>7.4</v>
      </c>
      <c r="F952">
        <f t="shared" si="68"/>
        <v>1.3773333333333335</v>
      </c>
      <c r="G952">
        <f t="shared" si="69"/>
        <v>5.1012345679012354E-2</v>
      </c>
    </row>
    <row r="953" spans="1:7">
      <c r="A953" s="1">
        <v>20150611</v>
      </c>
      <c r="B953" s="1">
        <v>9</v>
      </c>
      <c r="C953" s="2">
        <f t="shared" si="71"/>
        <v>1.2640000000000002</v>
      </c>
      <c r="D953">
        <f t="shared" si="70"/>
        <v>1.5640000000000003</v>
      </c>
      <c r="E953" s="3">
        <v>6.9</v>
      </c>
      <c r="F953">
        <f t="shared" si="68"/>
        <v>1.2640000000000002</v>
      </c>
      <c r="G953">
        <f t="shared" si="69"/>
        <v>0.14044444444444448</v>
      </c>
    </row>
    <row r="954" spans="1:7">
      <c r="A954" s="1">
        <v>20150611</v>
      </c>
      <c r="B954" s="1">
        <v>37</v>
      </c>
      <c r="C954" s="2">
        <f t="shared" si="71"/>
        <v>1.6266666666666667</v>
      </c>
      <c r="D954">
        <f t="shared" si="70"/>
        <v>1.9266666666666667</v>
      </c>
      <c r="E954" s="3">
        <v>8.5</v>
      </c>
      <c r="F954">
        <f t="shared" si="68"/>
        <v>1.6266666666666667</v>
      </c>
      <c r="G954">
        <f t="shared" si="69"/>
        <v>4.3963963963963966E-2</v>
      </c>
    </row>
    <row r="955" spans="1:7">
      <c r="A955" s="1">
        <v>20150611</v>
      </c>
      <c r="B955" s="1">
        <v>30</v>
      </c>
      <c r="C955" s="2">
        <f t="shared" si="71"/>
        <v>1.1506666666666667</v>
      </c>
      <c r="D955">
        <f t="shared" si="70"/>
        <v>1.4506666666666668</v>
      </c>
      <c r="E955" s="3">
        <v>6.4</v>
      </c>
      <c r="F955">
        <f t="shared" si="68"/>
        <v>1.1506666666666667</v>
      </c>
      <c r="G955">
        <f t="shared" si="69"/>
        <v>3.8355555555555559E-2</v>
      </c>
    </row>
    <row r="956" spans="1:7">
      <c r="A956" s="1">
        <v>20150611</v>
      </c>
      <c r="B956" s="1">
        <v>44</v>
      </c>
      <c r="C956" s="2">
        <f t="shared" si="71"/>
        <v>1.0826666666666667</v>
      </c>
      <c r="D956">
        <f t="shared" si="70"/>
        <v>1.3826666666666667</v>
      </c>
      <c r="E956" s="3">
        <v>6.1</v>
      </c>
      <c r="F956">
        <f t="shared" si="68"/>
        <v>1.0826666666666667</v>
      </c>
      <c r="G956">
        <f t="shared" si="69"/>
        <v>2.4606060606060607E-2</v>
      </c>
    </row>
    <row r="957" spans="1:7">
      <c r="A957" s="1">
        <v>20150611</v>
      </c>
      <c r="B957" s="1">
        <v>54</v>
      </c>
      <c r="C957" s="2">
        <f t="shared" si="71"/>
        <v>0.78800000000000003</v>
      </c>
      <c r="D957">
        <f t="shared" si="70"/>
        <v>1.0880000000000001</v>
      </c>
      <c r="E957" s="3">
        <v>4.8</v>
      </c>
      <c r="F957">
        <f t="shared" si="68"/>
        <v>0.78800000000000003</v>
      </c>
      <c r="G957">
        <f t="shared" si="69"/>
        <v>1.4592592592592593E-2</v>
      </c>
    </row>
    <row r="958" spans="1:7">
      <c r="A958" s="1">
        <v>20150611</v>
      </c>
      <c r="B958" s="1">
        <v>19</v>
      </c>
      <c r="C958" s="2">
        <f t="shared" si="71"/>
        <v>1.3773333333333335</v>
      </c>
      <c r="D958">
        <f t="shared" si="70"/>
        <v>1.6773333333333336</v>
      </c>
      <c r="E958" s="3">
        <v>7.4</v>
      </c>
      <c r="F958">
        <f t="shared" si="68"/>
        <v>1.3773333333333335</v>
      </c>
      <c r="G958">
        <f t="shared" si="69"/>
        <v>7.2491228070175454E-2</v>
      </c>
    </row>
    <row r="959" spans="1:7">
      <c r="A959" s="1">
        <v>20150611</v>
      </c>
      <c r="B959" s="1">
        <v>22</v>
      </c>
      <c r="C959" s="2">
        <f t="shared" si="71"/>
        <v>1.2640000000000002</v>
      </c>
      <c r="D959">
        <f t="shared" si="70"/>
        <v>1.5640000000000003</v>
      </c>
      <c r="E959" s="3">
        <v>6.9</v>
      </c>
      <c r="F959">
        <f t="shared" si="68"/>
        <v>1.2640000000000002</v>
      </c>
      <c r="G959">
        <f t="shared" si="69"/>
        <v>5.7454545454545466E-2</v>
      </c>
    </row>
    <row r="960" spans="1:7">
      <c r="A960" s="1">
        <v>20150611</v>
      </c>
      <c r="B960" s="1">
        <v>23</v>
      </c>
      <c r="C960" s="2">
        <f t="shared" si="71"/>
        <v>1.6266666666666667</v>
      </c>
      <c r="D960">
        <f t="shared" si="70"/>
        <v>1.9266666666666667</v>
      </c>
      <c r="E960" s="3">
        <v>8.5</v>
      </c>
      <c r="F960">
        <f t="shared" si="68"/>
        <v>1.6266666666666667</v>
      </c>
      <c r="G960">
        <f t="shared" si="69"/>
        <v>7.0724637681159427E-2</v>
      </c>
    </row>
    <row r="961" spans="1:7">
      <c r="A961" s="1">
        <v>20150611</v>
      </c>
      <c r="B961" s="1">
        <v>13</v>
      </c>
      <c r="C961" s="2">
        <f t="shared" si="71"/>
        <v>1.1506666666666667</v>
      </c>
      <c r="D961">
        <f t="shared" si="70"/>
        <v>1.4506666666666668</v>
      </c>
      <c r="E961" s="3">
        <v>6.4</v>
      </c>
      <c r="F961">
        <f t="shared" si="68"/>
        <v>1.1506666666666667</v>
      </c>
      <c r="G961">
        <f t="shared" si="69"/>
        <v>8.8512820512820514E-2</v>
      </c>
    </row>
    <row r="962" spans="1:7">
      <c r="A962" s="1">
        <v>20150611</v>
      </c>
      <c r="B962" s="1">
        <v>54</v>
      </c>
      <c r="C962" s="2">
        <f t="shared" si="71"/>
        <v>1.0826666666666667</v>
      </c>
      <c r="D962">
        <f t="shared" si="70"/>
        <v>1.3826666666666667</v>
      </c>
      <c r="E962" s="3">
        <v>6.1</v>
      </c>
      <c r="F962">
        <f t="shared" si="68"/>
        <v>1.0826666666666667</v>
      </c>
      <c r="G962">
        <f t="shared" si="69"/>
        <v>2.0049382716049384E-2</v>
      </c>
    </row>
    <row r="963" spans="1:7">
      <c r="A963" s="1">
        <v>20150611</v>
      </c>
      <c r="B963" s="1">
        <v>36</v>
      </c>
      <c r="C963" s="2">
        <f t="shared" si="71"/>
        <v>0.78800000000000003</v>
      </c>
      <c r="D963">
        <f t="shared" si="70"/>
        <v>1.0880000000000001</v>
      </c>
      <c r="E963" s="3">
        <v>4.8</v>
      </c>
      <c r="F963">
        <f t="shared" si="68"/>
        <v>0.78800000000000003</v>
      </c>
      <c r="G963">
        <f t="shared" si="69"/>
        <v>2.1888888888888888E-2</v>
      </c>
    </row>
    <row r="964" spans="1:7">
      <c r="A964" s="1">
        <v>20150611</v>
      </c>
      <c r="B964" s="1">
        <v>11</v>
      </c>
      <c r="C964" s="2">
        <f t="shared" si="71"/>
        <v>1.3773333333333335</v>
      </c>
      <c r="D964">
        <f t="shared" si="70"/>
        <v>1.6773333333333336</v>
      </c>
      <c r="E964" s="3">
        <v>7.4</v>
      </c>
      <c r="F964">
        <f t="shared" si="68"/>
        <v>1.3773333333333335</v>
      </c>
      <c r="G964">
        <f t="shared" si="69"/>
        <v>0.12521212121212122</v>
      </c>
    </row>
    <row r="965" spans="1:7">
      <c r="A965" s="1">
        <v>20150611</v>
      </c>
      <c r="B965" s="1">
        <v>18</v>
      </c>
      <c r="C965" s="2">
        <f t="shared" si="71"/>
        <v>1.2640000000000002</v>
      </c>
      <c r="D965">
        <f t="shared" si="70"/>
        <v>1.5640000000000003</v>
      </c>
      <c r="E965" s="3">
        <v>6.9</v>
      </c>
      <c r="F965">
        <f t="shared" si="68"/>
        <v>1.2640000000000002</v>
      </c>
      <c r="G965">
        <f t="shared" si="69"/>
        <v>7.0222222222222241E-2</v>
      </c>
    </row>
    <row r="966" spans="1:7">
      <c r="A966" s="1">
        <v>20150611</v>
      </c>
      <c r="B966" s="1">
        <v>21</v>
      </c>
      <c r="C966" s="2">
        <f t="shared" si="71"/>
        <v>1.6266666666666667</v>
      </c>
      <c r="D966">
        <f t="shared" si="70"/>
        <v>1.9266666666666667</v>
      </c>
      <c r="E966" s="3">
        <v>8.5</v>
      </c>
      <c r="F966">
        <f t="shared" si="68"/>
        <v>1.6266666666666667</v>
      </c>
      <c r="G966">
        <f t="shared" si="69"/>
        <v>7.7460317460317465E-2</v>
      </c>
    </row>
    <row r="967" spans="1:7">
      <c r="A967" s="1">
        <v>20150611</v>
      </c>
      <c r="B967" s="1">
        <v>25</v>
      </c>
      <c r="C967" s="2">
        <f t="shared" si="71"/>
        <v>1.1506666666666667</v>
      </c>
      <c r="D967">
        <f t="shared" si="70"/>
        <v>1.4506666666666668</v>
      </c>
      <c r="E967" s="3">
        <v>6.4</v>
      </c>
      <c r="F967">
        <f t="shared" si="68"/>
        <v>1.1506666666666667</v>
      </c>
      <c r="G967">
        <f t="shared" si="69"/>
        <v>4.6026666666666667E-2</v>
      </c>
    </row>
    <row r="968" spans="1:7">
      <c r="A968" s="1">
        <v>20150611</v>
      </c>
      <c r="B968" s="1">
        <v>33</v>
      </c>
      <c r="C968" s="2">
        <f t="shared" si="71"/>
        <v>1.0826666666666667</v>
      </c>
      <c r="D968">
        <f t="shared" si="70"/>
        <v>1.3826666666666667</v>
      </c>
      <c r="E968" s="3">
        <v>6.1</v>
      </c>
      <c r="F968">
        <f t="shared" si="68"/>
        <v>1.0826666666666667</v>
      </c>
      <c r="G968">
        <f t="shared" si="69"/>
        <v>3.2808080808080807E-2</v>
      </c>
    </row>
    <row r="969" spans="1:7">
      <c r="A969" s="1">
        <v>20150611</v>
      </c>
      <c r="B969" s="1">
        <v>21</v>
      </c>
      <c r="C969" s="2">
        <f t="shared" si="71"/>
        <v>0.78800000000000003</v>
      </c>
      <c r="D969">
        <f t="shared" si="70"/>
        <v>1.0880000000000001</v>
      </c>
      <c r="E969" s="3">
        <v>4.8</v>
      </c>
      <c r="F969">
        <f t="shared" si="68"/>
        <v>0.78800000000000003</v>
      </c>
      <c r="G969">
        <f t="shared" si="69"/>
        <v>3.7523809523809529E-2</v>
      </c>
    </row>
    <row r="970" spans="1:7">
      <c r="A970" s="1">
        <v>20150611</v>
      </c>
      <c r="B970" s="1">
        <v>21</v>
      </c>
      <c r="C970" s="2">
        <f t="shared" si="71"/>
        <v>1.3773333333333335</v>
      </c>
      <c r="D970">
        <f t="shared" si="70"/>
        <v>1.6773333333333336</v>
      </c>
      <c r="E970" s="3">
        <v>7.4</v>
      </c>
      <c r="F970">
        <f t="shared" si="68"/>
        <v>1.3773333333333335</v>
      </c>
      <c r="G970">
        <f t="shared" si="69"/>
        <v>6.5587301587301597E-2</v>
      </c>
    </row>
    <row r="971" spans="1:7">
      <c r="A971" s="1">
        <v>20150611</v>
      </c>
      <c r="B971" s="1">
        <v>12</v>
      </c>
      <c r="C971" s="2">
        <f t="shared" si="71"/>
        <v>1.2640000000000002</v>
      </c>
      <c r="D971">
        <f t="shared" si="70"/>
        <v>1.5640000000000003</v>
      </c>
      <c r="E971" s="3">
        <v>6.9</v>
      </c>
      <c r="F971">
        <f t="shared" si="68"/>
        <v>1.2640000000000002</v>
      </c>
      <c r="G971">
        <f t="shared" si="69"/>
        <v>0.10533333333333335</v>
      </c>
    </row>
    <row r="972" spans="1:7">
      <c r="A972" s="1">
        <v>20150611</v>
      </c>
      <c r="B972" s="1">
        <v>21</v>
      </c>
      <c r="C972" s="2">
        <f t="shared" si="71"/>
        <v>1.6266666666666667</v>
      </c>
      <c r="D972">
        <f t="shared" si="70"/>
        <v>1.9266666666666667</v>
      </c>
      <c r="E972" s="3">
        <v>8.5</v>
      </c>
      <c r="F972">
        <f t="shared" si="68"/>
        <v>1.6266666666666667</v>
      </c>
      <c r="G972">
        <f t="shared" si="69"/>
        <v>7.7460317460317465E-2</v>
      </c>
    </row>
    <row r="973" spans="1:7">
      <c r="A973" s="1">
        <v>20150611</v>
      </c>
      <c r="B973" s="1">
        <v>23</v>
      </c>
      <c r="C973" s="2">
        <f t="shared" si="71"/>
        <v>1.1506666666666667</v>
      </c>
      <c r="D973">
        <f t="shared" si="70"/>
        <v>1.4506666666666668</v>
      </c>
      <c r="E973" s="3">
        <v>6.4</v>
      </c>
      <c r="F973">
        <f t="shared" si="68"/>
        <v>1.1506666666666667</v>
      </c>
      <c r="G973">
        <f t="shared" si="69"/>
        <v>5.0028985507246382E-2</v>
      </c>
    </row>
    <row r="974" spans="1:7">
      <c r="A974" s="1">
        <v>20150611</v>
      </c>
      <c r="B974" s="1">
        <v>47</v>
      </c>
      <c r="C974" s="2">
        <f t="shared" si="71"/>
        <v>1.0826666666666667</v>
      </c>
      <c r="D974">
        <f t="shared" si="70"/>
        <v>1.3826666666666667</v>
      </c>
      <c r="E974" s="3">
        <v>6.1</v>
      </c>
      <c r="F974">
        <f t="shared" si="68"/>
        <v>1.0826666666666667</v>
      </c>
      <c r="G974">
        <f t="shared" si="69"/>
        <v>2.3035460992907802E-2</v>
      </c>
    </row>
    <row r="975" spans="1:7">
      <c r="A975" s="1">
        <v>20150611</v>
      </c>
      <c r="B975" s="1">
        <v>21</v>
      </c>
      <c r="C975" s="2">
        <f t="shared" si="71"/>
        <v>0.78800000000000003</v>
      </c>
      <c r="D975">
        <f t="shared" si="70"/>
        <v>1.0880000000000001</v>
      </c>
      <c r="E975" s="3">
        <v>4.8</v>
      </c>
      <c r="F975">
        <f t="shared" si="68"/>
        <v>0.78800000000000003</v>
      </c>
      <c r="G975">
        <f t="shared" si="69"/>
        <v>3.7523809523809529E-2</v>
      </c>
    </row>
    <row r="976" spans="1:7">
      <c r="A976" s="1">
        <v>20150611</v>
      </c>
      <c r="B976" s="1">
        <v>29</v>
      </c>
      <c r="C976" s="2">
        <f t="shared" si="71"/>
        <v>1.3773333333333335</v>
      </c>
      <c r="D976">
        <f t="shared" si="70"/>
        <v>1.6773333333333336</v>
      </c>
      <c r="E976" s="3">
        <v>7.4</v>
      </c>
      <c r="F976">
        <f t="shared" si="68"/>
        <v>1.3773333333333335</v>
      </c>
      <c r="G976">
        <f t="shared" si="69"/>
        <v>4.7494252873563222E-2</v>
      </c>
    </row>
    <row r="977" spans="1:7">
      <c r="A977" s="1">
        <v>20150611</v>
      </c>
      <c r="B977" s="1">
        <v>32</v>
      </c>
      <c r="C977" s="2">
        <f t="shared" si="71"/>
        <v>1.2640000000000002</v>
      </c>
      <c r="D977">
        <f t="shared" si="70"/>
        <v>1.5640000000000003</v>
      </c>
      <c r="E977" s="3">
        <v>6.9</v>
      </c>
      <c r="F977">
        <f t="shared" si="68"/>
        <v>1.2640000000000002</v>
      </c>
      <c r="G977">
        <f t="shared" si="69"/>
        <v>3.9500000000000007E-2</v>
      </c>
    </row>
    <row r="978" spans="1:7">
      <c r="A978" s="1">
        <v>20150611</v>
      </c>
      <c r="B978" s="1">
        <v>27</v>
      </c>
      <c r="C978" s="2">
        <f t="shared" si="71"/>
        <v>1.2640000000000002</v>
      </c>
      <c r="D978">
        <f t="shared" si="70"/>
        <v>1.5640000000000003</v>
      </c>
      <c r="E978" s="3">
        <v>6.9</v>
      </c>
      <c r="F978">
        <f t="shared" si="68"/>
        <v>1.2640000000000002</v>
      </c>
      <c r="G978">
        <f t="shared" si="69"/>
        <v>4.6814814814814823E-2</v>
      </c>
    </row>
    <row r="979" spans="1:7">
      <c r="A979" s="1">
        <v>20150611</v>
      </c>
      <c r="B979" s="1">
        <v>29</v>
      </c>
      <c r="C979" s="2">
        <f t="shared" si="71"/>
        <v>1.2640000000000002</v>
      </c>
      <c r="D979">
        <f t="shared" si="70"/>
        <v>1.5640000000000003</v>
      </c>
      <c r="E979" s="3">
        <v>6.9</v>
      </c>
      <c r="F979">
        <f t="shared" si="68"/>
        <v>1.2640000000000002</v>
      </c>
      <c r="G979">
        <f t="shared" si="69"/>
        <v>4.3586206896551731E-2</v>
      </c>
    </row>
    <row r="980" spans="1:7">
      <c r="A980" s="1">
        <v>20150611</v>
      </c>
      <c r="B980" s="1">
        <v>14</v>
      </c>
      <c r="C980" s="2">
        <f t="shared" si="71"/>
        <v>1.2640000000000002</v>
      </c>
      <c r="D980">
        <f t="shared" si="70"/>
        <v>1.5640000000000003</v>
      </c>
      <c r="E980" s="3">
        <v>6.9</v>
      </c>
      <c r="F980">
        <f t="shared" si="68"/>
        <v>1.2640000000000002</v>
      </c>
      <c r="G980">
        <f t="shared" si="69"/>
        <v>9.0285714285714302E-2</v>
      </c>
    </row>
    <row r="981" spans="1:7">
      <c r="A981" s="1">
        <v>20150611</v>
      </c>
      <c r="B981" s="1">
        <v>10</v>
      </c>
      <c r="C981" s="2">
        <f t="shared" si="71"/>
        <v>1.2640000000000002</v>
      </c>
      <c r="D981">
        <f t="shared" si="70"/>
        <v>1.5640000000000003</v>
      </c>
      <c r="E981" s="3">
        <v>6.9</v>
      </c>
      <c r="F981">
        <f t="shared" si="68"/>
        <v>1.2640000000000002</v>
      </c>
      <c r="G981">
        <f t="shared" si="69"/>
        <v>0.12640000000000001</v>
      </c>
    </row>
    <row r="982" spans="1:7">
      <c r="A982" s="1">
        <v>20150611</v>
      </c>
      <c r="B982" s="1">
        <v>39</v>
      </c>
      <c r="C982" s="2">
        <f t="shared" si="71"/>
        <v>1.6266666666666667</v>
      </c>
      <c r="D982">
        <f t="shared" si="70"/>
        <v>1.9266666666666667</v>
      </c>
      <c r="E982" s="3">
        <v>8.5</v>
      </c>
      <c r="F982">
        <f t="shared" si="68"/>
        <v>1.6266666666666667</v>
      </c>
      <c r="G982">
        <f t="shared" si="69"/>
        <v>4.1709401709401711E-2</v>
      </c>
    </row>
    <row r="983" spans="1:7">
      <c r="A983" s="1">
        <v>20150611</v>
      </c>
      <c r="B983" s="1">
        <v>27</v>
      </c>
      <c r="C983" s="2">
        <f t="shared" si="71"/>
        <v>1.6266666666666667</v>
      </c>
      <c r="D983">
        <f t="shared" si="70"/>
        <v>1.9266666666666667</v>
      </c>
      <c r="E983" s="3">
        <v>8.5</v>
      </c>
      <c r="F983">
        <f t="shared" si="68"/>
        <v>1.6266666666666667</v>
      </c>
      <c r="G983">
        <f t="shared" si="69"/>
        <v>6.0246913580246912E-2</v>
      </c>
    </row>
    <row r="984" spans="1:7">
      <c r="A984" s="1">
        <v>20150611</v>
      </c>
      <c r="B984" s="1">
        <v>36</v>
      </c>
      <c r="C984" s="2">
        <f t="shared" si="71"/>
        <v>1.6266666666666667</v>
      </c>
      <c r="D984">
        <f t="shared" si="70"/>
        <v>1.9266666666666667</v>
      </c>
      <c r="E984" s="3">
        <v>8.5</v>
      </c>
      <c r="F984">
        <f t="shared" si="68"/>
        <v>1.6266666666666667</v>
      </c>
      <c r="G984">
        <f t="shared" si="69"/>
        <v>4.5185185185185189E-2</v>
      </c>
    </row>
    <row r="985" spans="1:7">
      <c r="A985" s="1">
        <v>20150611</v>
      </c>
      <c r="B985" s="1">
        <v>46</v>
      </c>
      <c r="C985" s="2">
        <f t="shared" si="71"/>
        <v>1.6266666666666667</v>
      </c>
      <c r="D985">
        <f t="shared" si="70"/>
        <v>1.9266666666666667</v>
      </c>
      <c r="E985" s="3">
        <v>8.5</v>
      </c>
      <c r="F985">
        <f t="shared" si="68"/>
        <v>1.6266666666666667</v>
      </c>
      <c r="G985">
        <f t="shared" si="69"/>
        <v>3.5362318840579714E-2</v>
      </c>
    </row>
    <row r="986" spans="1:7">
      <c r="A986" s="1">
        <v>20150611</v>
      </c>
      <c r="B986" s="1">
        <v>35</v>
      </c>
      <c r="C986" s="2">
        <f t="shared" si="71"/>
        <v>1.6266666666666667</v>
      </c>
      <c r="D986">
        <f t="shared" si="70"/>
        <v>1.9266666666666667</v>
      </c>
      <c r="E986" s="3">
        <v>8.5</v>
      </c>
      <c r="F986">
        <f t="shared" si="68"/>
        <v>1.6266666666666667</v>
      </c>
      <c r="G986">
        <f t="shared" si="69"/>
        <v>4.6476190476190476E-2</v>
      </c>
    </row>
    <row r="987" spans="1:7">
      <c r="A987" s="1">
        <v>20150611</v>
      </c>
      <c r="B987" s="1">
        <v>52</v>
      </c>
      <c r="C987" s="2">
        <f t="shared" si="71"/>
        <v>1.1506666666666667</v>
      </c>
      <c r="D987">
        <f t="shared" si="70"/>
        <v>1.4506666666666668</v>
      </c>
      <c r="E987" s="3">
        <v>6.4</v>
      </c>
      <c r="F987">
        <f t="shared" si="68"/>
        <v>1.1506666666666667</v>
      </c>
      <c r="G987">
        <f t="shared" si="69"/>
        <v>2.2128205128205129E-2</v>
      </c>
    </row>
    <row r="988" spans="1:7">
      <c r="A988" s="1">
        <v>20150611</v>
      </c>
      <c r="B988" s="1">
        <v>29</v>
      </c>
      <c r="C988" s="2">
        <f t="shared" si="71"/>
        <v>1.1506666666666667</v>
      </c>
      <c r="D988">
        <f t="shared" si="70"/>
        <v>1.4506666666666668</v>
      </c>
      <c r="E988" s="3">
        <v>6.4</v>
      </c>
      <c r="F988">
        <f t="shared" si="68"/>
        <v>1.1506666666666667</v>
      </c>
      <c r="G988">
        <f t="shared" si="69"/>
        <v>3.9678160919540233E-2</v>
      </c>
    </row>
    <row r="989" spans="1:7">
      <c r="A989" s="1">
        <v>20150611</v>
      </c>
      <c r="B989" s="1">
        <v>11</v>
      </c>
      <c r="C989" s="2">
        <f t="shared" si="71"/>
        <v>1.1506666666666667</v>
      </c>
      <c r="D989">
        <f t="shared" si="70"/>
        <v>1.4506666666666668</v>
      </c>
      <c r="E989" s="3">
        <v>6.4</v>
      </c>
      <c r="F989">
        <f t="shared" si="68"/>
        <v>1.1506666666666667</v>
      </c>
      <c r="G989">
        <f t="shared" si="69"/>
        <v>0.10460606060606061</v>
      </c>
    </row>
    <row r="990" spans="1:7">
      <c r="A990" s="1">
        <v>20150611</v>
      </c>
      <c r="B990" s="1">
        <v>28</v>
      </c>
      <c r="C990" s="2">
        <f t="shared" si="71"/>
        <v>1.1506666666666667</v>
      </c>
      <c r="D990">
        <f t="shared" si="70"/>
        <v>1.4506666666666668</v>
      </c>
      <c r="E990" s="3">
        <v>6.4</v>
      </c>
      <c r="F990">
        <f t="shared" si="68"/>
        <v>1.1506666666666667</v>
      </c>
      <c r="G990">
        <f t="shared" si="69"/>
        <v>4.1095238095238094E-2</v>
      </c>
    </row>
    <row r="991" spans="1:7">
      <c r="A991" s="1">
        <v>20150611</v>
      </c>
      <c r="B991" s="1">
        <v>31</v>
      </c>
      <c r="C991" s="2">
        <f t="shared" si="71"/>
        <v>1.1506666666666667</v>
      </c>
      <c r="D991">
        <f t="shared" si="70"/>
        <v>1.4506666666666668</v>
      </c>
      <c r="E991" s="3">
        <v>6.4</v>
      </c>
      <c r="F991">
        <f t="shared" si="68"/>
        <v>1.1506666666666667</v>
      </c>
      <c r="G991">
        <f t="shared" si="69"/>
        <v>3.7118279569892478E-2</v>
      </c>
    </row>
    <row r="992" spans="1:7">
      <c r="A992" s="1">
        <v>20150611</v>
      </c>
      <c r="B992" s="1">
        <v>62</v>
      </c>
      <c r="C992" s="2">
        <f t="shared" si="71"/>
        <v>1.0826666666666667</v>
      </c>
      <c r="D992">
        <f t="shared" si="70"/>
        <v>1.3826666666666667</v>
      </c>
      <c r="E992" s="3">
        <v>6.1</v>
      </c>
      <c r="F992">
        <f t="shared" si="68"/>
        <v>1.0826666666666667</v>
      </c>
      <c r="G992">
        <f t="shared" si="69"/>
        <v>1.7462365591397848E-2</v>
      </c>
    </row>
    <row r="993" spans="1:7">
      <c r="A993" s="1">
        <v>20150611</v>
      </c>
      <c r="B993" s="1">
        <v>70</v>
      </c>
      <c r="C993" s="2">
        <f t="shared" si="71"/>
        <v>1.0826666666666667</v>
      </c>
      <c r="D993">
        <f t="shared" si="70"/>
        <v>1.3826666666666667</v>
      </c>
      <c r="E993" s="3">
        <v>6.1</v>
      </c>
      <c r="F993">
        <f t="shared" si="68"/>
        <v>1.0826666666666667</v>
      </c>
      <c r="G993">
        <f t="shared" si="69"/>
        <v>1.5466666666666667E-2</v>
      </c>
    </row>
    <row r="994" spans="1:7">
      <c r="A994" s="1">
        <v>20150611</v>
      </c>
      <c r="B994" s="1">
        <v>52</v>
      </c>
      <c r="C994" s="2">
        <f t="shared" si="71"/>
        <v>1.0826666666666667</v>
      </c>
      <c r="D994">
        <f t="shared" si="70"/>
        <v>1.3826666666666667</v>
      </c>
      <c r="E994" s="3">
        <v>6.1</v>
      </c>
      <c r="F994">
        <f t="shared" si="68"/>
        <v>1.0826666666666667</v>
      </c>
      <c r="G994">
        <f t="shared" si="69"/>
        <v>2.082051282051282E-2</v>
      </c>
    </row>
    <row r="995" spans="1:7">
      <c r="A995" s="1">
        <v>20150611</v>
      </c>
      <c r="B995" s="1">
        <v>36</v>
      </c>
      <c r="C995" s="2">
        <f t="shared" si="71"/>
        <v>1.0826666666666667</v>
      </c>
      <c r="D995">
        <f t="shared" si="70"/>
        <v>1.3826666666666667</v>
      </c>
      <c r="E995" s="3">
        <v>6.1</v>
      </c>
      <c r="F995">
        <f t="shared" si="68"/>
        <v>1.0826666666666667</v>
      </c>
      <c r="G995">
        <f t="shared" si="69"/>
        <v>3.0074074074074073E-2</v>
      </c>
    </row>
    <row r="996" spans="1:7">
      <c r="A996" s="1">
        <v>20150611</v>
      </c>
      <c r="B996" s="1">
        <v>65</v>
      </c>
      <c r="C996" s="2">
        <f t="shared" si="71"/>
        <v>1.0826666666666667</v>
      </c>
      <c r="D996">
        <f t="shared" si="70"/>
        <v>1.3826666666666667</v>
      </c>
      <c r="E996" s="3">
        <v>6.1</v>
      </c>
      <c r="F996">
        <f t="shared" si="68"/>
        <v>1.0826666666666667</v>
      </c>
      <c r="G996">
        <f t="shared" si="69"/>
        <v>1.6656410256410258E-2</v>
      </c>
    </row>
    <row r="997" spans="1:7">
      <c r="A997" s="1">
        <v>20150611</v>
      </c>
      <c r="B997" s="1">
        <v>9</v>
      </c>
      <c r="C997" s="2">
        <f t="shared" si="71"/>
        <v>0.78800000000000003</v>
      </c>
      <c r="D997">
        <f t="shared" si="70"/>
        <v>1.0880000000000001</v>
      </c>
      <c r="E997" s="3">
        <v>4.8</v>
      </c>
      <c r="F997">
        <f t="shared" si="68"/>
        <v>0.78800000000000003</v>
      </c>
      <c r="G997">
        <f t="shared" si="69"/>
        <v>8.7555555555555553E-2</v>
      </c>
    </row>
    <row r="998" spans="1:7">
      <c r="A998" s="1">
        <v>20150611</v>
      </c>
      <c r="B998" s="1">
        <v>7</v>
      </c>
      <c r="C998" s="2">
        <f t="shared" si="71"/>
        <v>0.78800000000000003</v>
      </c>
      <c r="D998">
        <f t="shared" si="70"/>
        <v>1.0880000000000001</v>
      </c>
      <c r="E998" s="3">
        <v>4.8</v>
      </c>
      <c r="F998">
        <f t="shared" si="68"/>
        <v>0.78800000000000003</v>
      </c>
      <c r="G998">
        <f t="shared" si="69"/>
        <v>0.11257142857142857</v>
      </c>
    </row>
    <row r="999" spans="1:7">
      <c r="A999" s="1">
        <v>20150611</v>
      </c>
      <c r="B999" s="1">
        <v>50</v>
      </c>
      <c r="C999" s="2">
        <f t="shared" si="71"/>
        <v>0.78800000000000003</v>
      </c>
      <c r="D999">
        <f t="shared" si="70"/>
        <v>1.0880000000000001</v>
      </c>
      <c r="E999" s="3">
        <v>4.8</v>
      </c>
      <c r="F999">
        <f t="shared" si="68"/>
        <v>0.78800000000000003</v>
      </c>
      <c r="G999">
        <f t="shared" si="69"/>
        <v>1.576E-2</v>
      </c>
    </row>
    <row r="1000" spans="1:7">
      <c r="A1000" s="1">
        <v>20150611</v>
      </c>
      <c r="B1000" s="1">
        <v>45</v>
      </c>
      <c r="C1000" s="2">
        <f t="shared" si="71"/>
        <v>0.78800000000000003</v>
      </c>
      <c r="D1000">
        <f t="shared" si="70"/>
        <v>1.0880000000000001</v>
      </c>
      <c r="E1000" s="3">
        <v>4.8</v>
      </c>
      <c r="F1000">
        <f t="shared" si="68"/>
        <v>0.78800000000000003</v>
      </c>
      <c r="G1000">
        <f t="shared" si="69"/>
        <v>1.7511111111111113E-2</v>
      </c>
    </row>
    <row r="1001" spans="1:7">
      <c r="A1001" s="1">
        <v>20150611</v>
      </c>
      <c r="B1001" s="1">
        <v>45</v>
      </c>
      <c r="C1001" s="2">
        <f t="shared" si="71"/>
        <v>0.78800000000000003</v>
      </c>
      <c r="D1001">
        <f t="shared" si="70"/>
        <v>1.0880000000000001</v>
      </c>
      <c r="E1001" s="3">
        <v>4.8</v>
      </c>
      <c r="F1001">
        <f t="shared" ref="F1001:F1064" si="72">C1001</f>
        <v>0.78800000000000003</v>
      </c>
      <c r="G1001">
        <f t="shared" ref="G1001:G1064" si="73">F1001/B1001</f>
        <v>1.7511111111111113E-2</v>
      </c>
    </row>
    <row r="1002" spans="1:7">
      <c r="A1002" s="1">
        <v>20150611</v>
      </c>
      <c r="B1002" s="1">
        <v>32</v>
      </c>
      <c r="C1002" s="2">
        <f t="shared" si="71"/>
        <v>1.3773333333333335</v>
      </c>
      <c r="D1002">
        <f t="shared" si="70"/>
        <v>1.6773333333333336</v>
      </c>
      <c r="E1002" s="3">
        <v>7.4</v>
      </c>
      <c r="F1002">
        <f t="shared" si="72"/>
        <v>1.3773333333333335</v>
      </c>
      <c r="G1002">
        <f t="shared" si="73"/>
        <v>4.3041666666666673E-2</v>
      </c>
    </row>
    <row r="1003" spans="1:7">
      <c r="A1003" s="1">
        <v>20150611</v>
      </c>
      <c r="B1003" s="1">
        <v>42</v>
      </c>
      <c r="C1003" s="2">
        <f t="shared" si="71"/>
        <v>1.3773333333333335</v>
      </c>
      <c r="D1003">
        <f t="shared" si="70"/>
        <v>1.6773333333333336</v>
      </c>
      <c r="E1003" s="3">
        <v>7.4</v>
      </c>
      <c r="F1003">
        <f t="shared" si="72"/>
        <v>1.3773333333333335</v>
      </c>
      <c r="G1003">
        <f t="shared" si="73"/>
        <v>3.2793650793650798E-2</v>
      </c>
    </row>
    <row r="1004" spans="1:7">
      <c r="A1004" s="1">
        <v>20150611</v>
      </c>
      <c r="B1004" s="1">
        <v>21</v>
      </c>
      <c r="C1004" s="2">
        <f t="shared" si="71"/>
        <v>1.3773333333333335</v>
      </c>
      <c r="D1004">
        <f t="shared" si="70"/>
        <v>1.6773333333333336</v>
      </c>
      <c r="E1004" s="3">
        <v>7.4</v>
      </c>
      <c r="F1004">
        <f t="shared" si="72"/>
        <v>1.3773333333333335</v>
      </c>
      <c r="G1004">
        <f t="shared" si="73"/>
        <v>6.5587301587301597E-2</v>
      </c>
    </row>
    <row r="1005" spans="1:7">
      <c r="A1005" s="1">
        <v>20150611</v>
      </c>
      <c r="B1005" s="1">
        <v>44</v>
      </c>
      <c r="C1005" s="2">
        <f t="shared" si="71"/>
        <v>1.3773333333333335</v>
      </c>
      <c r="D1005">
        <f t="shared" si="70"/>
        <v>1.6773333333333336</v>
      </c>
      <c r="E1005" s="3">
        <v>7.4</v>
      </c>
      <c r="F1005">
        <f t="shared" si="72"/>
        <v>1.3773333333333335</v>
      </c>
      <c r="G1005">
        <f t="shared" si="73"/>
        <v>3.1303030303030305E-2</v>
      </c>
    </row>
    <row r="1006" spans="1:7">
      <c r="A1006" s="1">
        <v>20150611</v>
      </c>
      <c r="B1006" s="1">
        <v>55</v>
      </c>
      <c r="C1006" s="2">
        <f t="shared" si="71"/>
        <v>1.3773333333333335</v>
      </c>
      <c r="D1006">
        <f t="shared" si="70"/>
        <v>1.6773333333333336</v>
      </c>
      <c r="E1006" s="3">
        <v>7.4</v>
      </c>
      <c r="F1006">
        <f t="shared" si="72"/>
        <v>1.3773333333333335</v>
      </c>
      <c r="G1006">
        <f t="shared" si="73"/>
        <v>2.5042424242424245E-2</v>
      </c>
    </row>
    <row r="1007" spans="1:7">
      <c r="A1007" s="1">
        <v>20150611</v>
      </c>
      <c r="B1007" s="1">
        <v>40</v>
      </c>
      <c r="C1007" s="2">
        <f t="shared" si="71"/>
        <v>1.2640000000000002</v>
      </c>
      <c r="D1007">
        <f t="shared" si="70"/>
        <v>1.5640000000000003</v>
      </c>
      <c r="E1007" s="3">
        <v>6.9</v>
      </c>
      <c r="F1007">
        <f t="shared" si="72"/>
        <v>1.2640000000000002</v>
      </c>
      <c r="G1007">
        <f t="shared" si="73"/>
        <v>3.1600000000000003E-2</v>
      </c>
    </row>
    <row r="1008" spans="1:7">
      <c r="A1008" s="1">
        <v>20150611</v>
      </c>
      <c r="B1008" s="1">
        <v>40</v>
      </c>
      <c r="C1008" s="2">
        <f t="shared" si="71"/>
        <v>1.2640000000000002</v>
      </c>
      <c r="D1008">
        <f t="shared" si="70"/>
        <v>1.5640000000000003</v>
      </c>
      <c r="E1008" s="3">
        <v>6.9</v>
      </c>
      <c r="F1008">
        <f t="shared" si="72"/>
        <v>1.2640000000000002</v>
      </c>
      <c r="G1008">
        <f t="shared" si="73"/>
        <v>3.1600000000000003E-2</v>
      </c>
    </row>
    <row r="1009" spans="1:7">
      <c r="A1009" s="1">
        <v>20150611</v>
      </c>
      <c r="B1009" s="1">
        <v>47</v>
      </c>
      <c r="C1009" s="2">
        <f t="shared" si="71"/>
        <v>1.2640000000000002</v>
      </c>
      <c r="D1009">
        <f t="shared" si="70"/>
        <v>1.5640000000000003</v>
      </c>
      <c r="E1009" s="3">
        <v>6.9</v>
      </c>
      <c r="F1009">
        <f t="shared" si="72"/>
        <v>1.2640000000000002</v>
      </c>
      <c r="G1009">
        <f t="shared" si="73"/>
        <v>2.68936170212766E-2</v>
      </c>
    </row>
    <row r="1010" spans="1:7">
      <c r="A1010" s="1">
        <v>20150611</v>
      </c>
      <c r="B1010" s="1">
        <v>41</v>
      </c>
      <c r="C1010" s="2">
        <f t="shared" si="71"/>
        <v>1.2640000000000002</v>
      </c>
      <c r="D1010">
        <f t="shared" ref="D1010:D1073" si="74">0.17*($H$3/12)*E1010</f>
        <v>1.5640000000000003</v>
      </c>
      <c r="E1010" s="3">
        <v>6.9</v>
      </c>
      <c r="F1010">
        <f t="shared" si="72"/>
        <v>1.2640000000000002</v>
      </c>
      <c r="G1010">
        <f t="shared" si="73"/>
        <v>3.0829268292682933E-2</v>
      </c>
    </row>
    <row r="1011" spans="1:7">
      <c r="A1011" s="1">
        <v>20150611</v>
      </c>
      <c r="B1011" s="1">
        <v>36</v>
      </c>
      <c r="C1011" s="2">
        <f t="shared" si="71"/>
        <v>1.2640000000000002</v>
      </c>
      <c r="D1011">
        <f t="shared" si="74"/>
        <v>1.5640000000000003</v>
      </c>
      <c r="E1011" s="3">
        <v>6.9</v>
      </c>
      <c r="F1011">
        <f t="shared" si="72"/>
        <v>1.2640000000000002</v>
      </c>
      <c r="G1011">
        <f t="shared" si="73"/>
        <v>3.5111111111111121E-2</v>
      </c>
    </row>
    <row r="1012" spans="1:7">
      <c r="A1012" s="1">
        <v>20150611</v>
      </c>
      <c r="B1012" s="1">
        <v>40</v>
      </c>
      <c r="C1012" s="2">
        <f t="shared" ref="C1012:C1075" si="75">D1012-$S$46</f>
        <v>1.6266666666666667</v>
      </c>
      <c r="D1012">
        <f t="shared" si="74"/>
        <v>1.9266666666666667</v>
      </c>
      <c r="E1012" s="3">
        <v>8.5</v>
      </c>
      <c r="F1012">
        <f t="shared" si="72"/>
        <v>1.6266666666666667</v>
      </c>
      <c r="G1012">
        <f t="shared" si="73"/>
        <v>4.066666666666667E-2</v>
      </c>
    </row>
    <row r="1013" spans="1:7">
      <c r="A1013" s="1">
        <v>20150611</v>
      </c>
      <c r="B1013" s="1">
        <v>52</v>
      </c>
      <c r="C1013" s="2">
        <f t="shared" si="75"/>
        <v>1.6266666666666667</v>
      </c>
      <c r="D1013">
        <f t="shared" si="74"/>
        <v>1.9266666666666667</v>
      </c>
      <c r="E1013" s="3">
        <v>8.5</v>
      </c>
      <c r="F1013">
        <f t="shared" si="72"/>
        <v>1.6266666666666667</v>
      </c>
      <c r="G1013">
        <f t="shared" si="73"/>
        <v>3.1282051282051283E-2</v>
      </c>
    </row>
    <row r="1014" spans="1:7">
      <c r="A1014" s="1">
        <v>20150611</v>
      </c>
      <c r="B1014" s="1">
        <v>50</v>
      </c>
      <c r="C1014" s="2">
        <f t="shared" si="75"/>
        <v>1.6266666666666667</v>
      </c>
      <c r="D1014">
        <f t="shared" si="74"/>
        <v>1.9266666666666667</v>
      </c>
      <c r="E1014" s="3">
        <v>8.5</v>
      </c>
      <c r="F1014">
        <f t="shared" si="72"/>
        <v>1.6266666666666667</v>
      </c>
      <c r="G1014">
        <f t="shared" si="73"/>
        <v>3.2533333333333331E-2</v>
      </c>
    </row>
    <row r="1015" spans="1:7">
      <c r="A1015" s="1">
        <v>20150611</v>
      </c>
      <c r="B1015" s="1">
        <v>27</v>
      </c>
      <c r="C1015" s="2">
        <f t="shared" si="75"/>
        <v>1.6266666666666667</v>
      </c>
      <c r="D1015">
        <f t="shared" si="74"/>
        <v>1.9266666666666667</v>
      </c>
      <c r="E1015" s="3">
        <v>8.5</v>
      </c>
      <c r="F1015">
        <f t="shared" si="72"/>
        <v>1.6266666666666667</v>
      </c>
      <c r="G1015">
        <f t="shared" si="73"/>
        <v>6.0246913580246912E-2</v>
      </c>
    </row>
    <row r="1016" spans="1:7">
      <c r="A1016" s="1">
        <v>20150611</v>
      </c>
      <c r="B1016" s="1">
        <v>31</v>
      </c>
      <c r="C1016" s="2">
        <f t="shared" si="75"/>
        <v>1.6266666666666667</v>
      </c>
      <c r="D1016">
        <f t="shared" si="74"/>
        <v>1.9266666666666667</v>
      </c>
      <c r="E1016" s="3">
        <v>8.5</v>
      </c>
      <c r="F1016">
        <f t="shared" si="72"/>
        <v>1.6266666666666667</v>
      </c>
      <c r="G1016">
        <f t="shared" si="73"/>
        <v>5.2473118279569894E-2</v>
      </c>
    </row>
    <row r="1017" spans="1:7">
      <c r="A1017" s="1">
        <v>20150611</v>
      </c>
      <c r="B1017" s="1">
        <v>55</v>
      </c>
      <c r="C1017" s="2">
        <f t="shared" si="75"/>
        <v>1.1506666666666667</v>
      </c>
      <c r="D1017">
        <f t="shared" si="74"/>
        <v>1.4506666666666668</v>
      </c>
      <c r="E1017" s="3">
        <v>6.4</v>
      </c>
      <c r="F1017">
        <f t="shared" si="72"/>
        <v>1.1506666666666667</v>
      </c>
      <c r="G1017">
        <f t="shared" si="73"/>
        <v>2.0921212121212122E-2</v>
      </c>
    </row>
    <row r="1018" spans="1:7">
      <c r="A1018" s="1">
        <v>20150611</v>
      </c>
      <c r="B1018" s="1">
        <v>54</v>
      </c>
      <c r="C1018" s="2">
        <f t="shared" si="75"/>
        <v>1.1506666666666667</v>
      </c>
      <c r="D1018">
        <f t="shared" si="74"/>
        <v>1.4506666666666668</v>
      </c>
      <c r="E1018" s="3">
        <v>6.4</v>
      </c>
      <c r="F1018">
        <f t="shared" si="72"/>
        <v>1.1506666666666667</v>
      </c>
      <c r="G1018">
        <f t="shared" si="73"/>
        <v>2.1308641975308643E-2</v>
      </c>
    </row>
    <row r="1019" spans="1:7">
      <c r="A1019" s="1">
        <v>20150611</v>
      </c>
      <c r="B1019" s="1">
        <v>49</v>
      </c>
      <c r="C1019" s="2">
        <f t="shared" si="75"/>
        <v>1.1506666666666667</v>
      </c>
      <c r="D1019">
        <f t="shared" si="74"/>
        <v>1.4506666666666668</v>
      </c>
      <c r="E1019" s="3">
        <v>6.4</v>
      </c>
      <c r="F1019">
        <f t="shared" si="72"/>
        <v>1.1506666666666667</v>
      </c>
      <c r="G1019">
        <f t="shared" si="73"/>
        <v>2.3482993197278913E-2</v>
      </c>
    </row>
    <row r="1020" spans="1:7">
      <c r="A1020" s="1">
        <v>20150611</v>
      </c>
      <c r="B1020" s="1">
        <v>42</v>
      </c>
      <c r="C1020" s="2">
        <f t="shared" si="75"/>
        <v>1.1506666666666667</v>
      </c>
      <c r="D1020">
        <f t="shared" si="74"/>
        <v>1.4506666666666668</v>
      </c>
      <c r="E1020" s="3">
        <v>6.4</v>
      </c>
      <c r="F1020">
        <f t="shared" si="72"/>
        <v>1.1506666666666667</v>
      </c>
      <c r="G1020">
        <f t="shared" si="73"/>
        <v>2.7396825396825399E-2</v>
      </c>
    </row>
    <row r="1021" spans="1:7">
      <c r="A1021" s="1">
        <v>20150611</v>
      </c>
      <c r="B1021" s="1">
        <v>50</v>
      </c>
      <c r="C1021" s="2">
        <f t="shared" si="75"/>
        <v>1.1506666666666667</v>
      </c>
      <c r="D1021">
        <f t="shared" si="74"/>
        <v>1.4506666666666668</v>
      </c>
      <c r="E1021" s="3">
        <v>6.4</v>
      </c>
      <c r="F1021">
        <f t="shared" si="72"/>
        <v>1.1506666666666667</v>
      </c>
      <c r="G1021">
        <f t="shared" si="73"/>
        <v>2.3013333333333334E-2</v>
      </c>
    </row>
    <row r="1022" spans="1:7">
      <c r="A1022" s="1">
        <v>20150611</v>
      </c>
      <c r="B1022" s="1">
        <v>61</v>
      </c>
      <c r="C1022" s="2">
        <f t="shared" si="75"/>
        <v>1.0826666666666667</v>
      </c>
      <c r="D1022">
        <f t="shared" si="74"/>
        <v>1.3826666666666667</v>
      </c>
      <c r="E1022" s="3">
        <v>6.1</v>
      </c>
      <c r="F1022">
        <f t="shared" si="72"/>
        <v>1.0826666666666667</v>
      </c>
      <c r="G1022">
        <f t="shared" si="73"/>
        <v>1.7748633879781421E-2</v>
      </c>
    </row>
    <row r="1023" spans="1:7">
      <c r="A1023" s="1">
        <v>20150611</v>
      </c>
      <c r="B1023" s="1">
        <v>67</v>
      </c>
      <c r="C1023" s="2">
        <f t="shared" si="75"/>
        <v>1.0826666666666667</v>
      </c>
      <c r="D1023">
        <f t="shared" si="74"/>
        <v>1.3826666666666667</v>
      </c>
      <c r="E1023" s="3">
        <v>6.1</v>
      </c>
      <c r="F1023">
        <f t="shared" si="72"/>
        <v>1.0826666666666667</v>
      </c>
      <c r="G1023">
        <f t="shared" si="73"/>
        <v>1.6159203980099502E-2</v>
      </c>
    </row>
    <row r="1024" spans="1:7">
      <c r="A1024" s="1">
        <v>20150611</v>
      </c>
      <c r="B1024" s="1">
        <v>68</v>
      </c>
      <c r="C1024" s="2">
        <f t="shared" si="75"/>
        <v>1.0826666666666667</v>
      </c>
      <c r="D1024">
        <f t="shared" si="74"/>
        <v>1.3826666666666667</v>
      </c>
      <c r="E1024" s="3">
        <v>6.1</v>
      </c>
      <c r="F1024">
        <f t="shared" si="72"/>
        <v>1.0826666666666667</v>
      </c>
      <c r="G1024">
        <f t="shared" si="73"/>
        <v>1.5921568627450981E-2</v>
      </c>
    </row>
    <row r="1025" spans="1:7">
      <c r="A1025" s="1">
        <v>20150611</v>
      </c>
      <c r="B1025" s="1">
        <v>50</v>
      </c>
      <c r="C1025" s="2">
        <f t="shared" si="75"/>
        <v>1.0826666666666667</v>
      </c>
      <c r="D1025">
        <f t="shared" si="74"/>
        <v>1.3826666666666667</v>
      </c>
      <c r="E1025" s="3">
        <v>6.1</v>
      </c>
      <c r="F1025">
        <f t="shared" si="72"/>
        <v>1.0826666666666667</v>
      </c>
      <c r="G1025">
        <f t="shared" si="73"/>
        <v>2.1653333333333333E-2</v>
      </c>
    </row>
    <row r="1026" spans="1:7">
      <c r="A1026" s="1">
        <v>20150611</v>
      </c>
      <c r="B1026" s="1">
        <v>58</v>
      </c>
      <c r="C1026" s="2">
        <f t="shared" si="75"/>
        <v>1.0826666666666667</v>
      </c>
      <c r="D1026">
        <f t="shared" si="74"/>
        <v>1.3826666666666667</v>
      </c>
      <c r="E1026" s="3">
        <v>6.1</v>
      </c>
      <c r="F1026">
        <f t="shared" si="72"/>
        <v>1.0826666666666667</v>
      </c>
      <c r="G1026">
        <f t="shared" si="73"/>
        <v>1.8666666666666668E-2</v>
      </c>
    </row>
    <row r="1027" spans="1:7">
      <c r="A1027" s="1">
        <v>20150611</v>
      </c>
      <c r="B1027" s="1">
        <v>55</v>
      </c>
      <c r="C1027" s="2">
        <f t="shared" si="75"/>
        <v>0.78800000000000003</v>
      </c>
      <c r="D1027">
        <f t="shared" si="74"/>
        <v>1.0880000000000001</v>
      </c>
      <c r="E1027" s="3">
        <v>4.8</v>
      </c>
      <c r="F1027">
        <f t="shared" si="72"/>
        <v>0.78800000000000003</v>
      </c>
      <c r="G1027">
        <f t="shared" si="73"/>
        <v>1.4327272727272728E-2</v>
      </c>
    </row>
    <row r="1028" spans="1:7">
      <c r="A1028" s="1">
        <v>20150611</v>
      </c>
      <c r="B1028" s="1">
        <v>50</v>
      </c>
      <c r="C1028" s="2">
        <f t="shared" si="75"/>
        <v>0.78800000000000003</v>
      </c>
      <c r="D1028">
        <f t="shared" si="74"/>
        <v>1.0880000000000001</v>
      </c>
      <c r="E1028" s="3">
        <v>4.8</v>
      </c>
      <c r="F1028">
        <f t="shared" si="72"/>
        <v>0.78800000000000003</v>
      </c>
      <c r="G1028">
        <f t="shared" si="73"/>
        <v>1.576E-2</v>
      </c>
    </row>
    <row r="1029" spans="1:7">
      <c r="A1029" s="1">
        <v>20150611</v>
      </c>
      <c r="B1029" s="1">
        <v>50</v>
      </c>
      <c r="C1029" s="2">
        <f t="shared" si="75"/>
        <v>0.78800000000000003</v>
      </c>
      <c r="D1029">
        <f t="shared" si="74"/>
        <v>1.0880000000000001</v>
      </c>
      <c r="E1029" s="3">
        <v>4.8</v>
      </c>
      <c r="F1029">
        <f t="shared" si="72"/>
        <v>0.78800000000000003</v>
      </c>
      <c r="G1029">
        <f t="shared" si="73"/>
        <v>1.576E-2</v>
      </c>
    </row>
    <row r="1030" spans="1:7">
      <c r="A1030" s="1">
        <v>20150611</v>
      </c>
      <c r="B1030" s="1">
        <v>34</v>
      </c>
      <c r="C1030" s="2">
        <f t="shared" si="75"/>
        <v>0.78800000000000003</v>
      </c>
      <c r="D1030">
        <f t="shared" si="74"/>
        <v>1.0880000000000001</v>
      </c>
      <c r="E1030" s="3">
        <v>4.8</v>
      </c>
      <c r="F1030">
        <f t="shared" si="72"/>
        <v>0.78800000000000003</v>
      </c>
      <c r="G1030">
        <f t="shared" si="73"/>
        <v>2.3176470588235295E-2</v>
      </c>
    </row>
    <row r="1031" spans="1:7">
      <c r="A1031" s="1">
        <v>20150611</v>
      </c>
      <c r="B1031" s="1">
        <v>40</v>
      </c>
      <c r="C1031" s="2">
        <f t="shared" si="75"/>
        <v>0.78800000000000003</v>
      </c>
      <c r="D1031">
        <f t="shared" si="74"/>
        <v>1.0880000000000001</v>
      </c>
      <c r="E1031" s="3">
        <v>4.8</v>
      </c>
      <c r="F1031">
        <f t="shared" si="72"/>
        <v>0.78800000000000003</v>
      </c>
      <c r="G1031">
        <f t="shared" si="73"/>
        <v>1.9700000000000002E-2</v>
      </c>
    </row>
    <row r="1032" spans="1:7">
      <c r="A1032" s="1">
        <v>20150611</v>
      </c>
      <c r="B1032" s="1">
        <v>39</v>
      </c>
      <c r="C1032" s="2">
        <f t="shared" si="75"/>
        <v>1.3773333333333335</v>
      </c>
      <c r="D1032">
        <f t="shared" si="74"/>
        <v>1.6773333333333336</v>
      </c>
      <c r="E1032" s="3">
        <v>7.4</v>
      </c>
      <c r="F1032">
        <f t="shared" si="72"/>
        <v>1.3773333333333335</v>
      </c>
      <c r="G1032">
        <f t="shared" si="73"/>
        <v>3.5316239316239319E-2</v>
      </c>
    </row>
    <row r="1033" spans="1:7">
      <c r="A1033" s="1">
        <v>20150611</v>
      </c>
      <c r="B1033" s="1">
        <v>45</v>
      </c>
      <c r="C1033" s="2">
        <f t="shared" si="75"/>
        <v>1.3773333333333335</v>
      </c>
      <c r="D1033">
        <f t="shared" si="74"/>
        <v>1.6773333333333336</v>
      </c>
      <c r="E1033" s="3">
        <v>7.4</v>
      </c>
      <c r="F1033">
        <f t="shared" si="72"/>
        <v>1.3773333333333335</v>
      </c>
      <c r="G1033">
        <f t="shared" si="73"/>
        <v>3.0607407407407413E-2</v>
      </c>
    </row>
    <row r="1034" spans="1:7">
      <c r="A1034" s="1">
        <v>20150611</v>
      </c>
      <c r="B1034" s="1">
        <v>57</v>
      </c>
      <c r="C1034" s="2">
        <f t="shared" si="75"/>
        <v>1.3773333333333335</v>
      </c>
      <c r="D1034">
        <f t="shared" si="74"/>
        <v>1.6773333333333336</v>
      </c>
      <c r="E1034" s="3">
        <v>7.4</v>
      </c>
      <c r="F1034">
        <f t="shared" si="72"/>
        <v>1.3773333333333335</v>
      </c>
      <c r="G1034">
        <f t="shared" si="73"/>
        <v>2.4163742690058485E-2</v>
      </c>
    </row>
    <row r="1035" spans="1:7">
      <c r="A1035" s="1">
        <v>20150611</v>
      </c>
      <c r="B1035" s="1">
        <v>56</v>
      </c>
      <c r="C1035" s="2">
        <f t="shared" si="75"/>
        <v>1.3773333333333335</v>
      </c>
      <c r="D1035">
        <f t="shared" si="74"/>
        <v>1.6773333333333336</v>
      </c>
      <c r="E1035" s="3">
        <v>7.4</v>
      </c>
      <c r="F1035">
        <f t="shared" si="72"/>
        <v>1.3773333333333335</v>
      </c>
      <c r="G1035">
        <f t="shared" si="73"/>
        <v>2.4595238095238097E-2</v>
      </c>
    </row>
    <row r="1036" spans="1:7">
      <c r="A1036" s="1">
        <v>20150611</v>
      </c>
      <c r="B1036" s="1">
        <v>47</v>
      </c>
      <c r="C1036" s="2">
        <f t="shared" si="75"/>
        <v>1.3773333333333335</v>
      </c>
      <c r="D1036">
        <f t="shared" si="74"/>
        <v>1.6773333333333336</v>
      </c>
      <c r="E1036" s="3">
        <v>7.4</v>
      </c>
      <c r="F1036">
        <f t="shared" si="72"/>
        <v>1.3773333333333335</v>
      </c>
      <c r="G1036">
        <f t="shared" si="73"/>
        <v>2.9304964539007095E-2</v>
      </c>
    </row>
    <row r="1037" spans="1:7">
      <c r="A1037" s="1">
        <v>20150611</v>
      </c>
      <c r="B1037" s="1">
        <v>4</v>
      </c>
      <c r="C1037" s="2">
        <f t="shared" si="75"/>
        <v>0.58400000000000007</v>
      </c>
      <c r="D1037">
        <f t="shared" si="74"/>
        <v>0.88400000000000001</v>
      </c>
      <c r="E1037" s="3">
        <v>3.9</v>
      </c>
      <c r="F1037">
        <f t="shared" si="72"/>
        <v>0.58400000000000007</v>
      </c>
      <c r="G1037">
        <f t="shared" si="73"/>
        <v>0.14600000000000002</v>
      </c>
    </row>
    <row r="1038" spans="1:7">
      <c r="A1038" s="1">
        <v>20150611</v>
      </c>
      <c r="B1038" s="1">
        <v>3</v>
      </c>
      <c r="C1038" s="2">
        <f t="shared" si="75"/>
        <v>0.58400000000000007</v>
      </c>
      <c r="D1038">
        <f t="shared" si="74"/>
        <v>0.88400000000000001</v>
      </c>
      <c r="E1038" s="3">
        <v>3.9</v>
      </c>
      <c r="F1038">
        <f t="shared" si="72"/>
        <v>0.58400000000000007</v>
      </c>
      <c r="G1038">
        <f t="shared" si="73"/>
        <v>0.19466666666666668</v>
      </c>
    </row>
    <row r="1039" spans="1:7">
      <c r="A1039" s="1">
        <v>20150611</v>
      </c>
      <c r="B1039" s="1">
        <v>14</v>
      </c>
      <c r="C1039" s="2">
        <f t="shared" si="75"/>
        <v>0.58400000000000007</v>
      </c>
      <c r="D1039">
        <f t="shared" si="74"/>
        <v>0.88400000000000001</v>
      </c>
      <c r="E1039" s="3">
        <v>3.9</v>
      </c>
      <c r="F1039">
        <f t="shared" si="72"/>
        <v>0.58400000000000007</v>
      </c>
      <c r="G1039">
        <f t="shared" si="73"/>
        <v>4.1714285714285718E-2</v>
      </c>
    </row>
    <row r="1040" spans="1:7">
      <c r="A1040" s="1">
        <v>20150611</v>
      </c>
      <c r="B1040" s="1">
        <v>3</v>
      </c>
      <c r="C1040" s="2">
        <f t="shared" si="75"/>
        <v>0.58400000000000007</v>
      </c>
      <c r="D1040">
        <f t="shared" si="74"/>
        <v>0.88400000000000001</v>
      </c>
      <c r="E1040" s="3">
        <v>3.9</v>
      </c>
      <c r="F1040">
        <f t="shared" si="72"/>
        <v>0.58400000000000007</v>
      </c>
      <c r="G1040">
        <f t="shared" si="73"/>
        <v>0.19466666666666668</v>
      </c>
    </row>
    <row r="1041" spans="1:7">
      <c r="A1041" s="1">
        <v>20150611</v>
      </c>
      <c r="B1041" s="1">
        <v>10</v>
      </c>
      <c r="C1041" s="2">
        <f t="shared" si="75"/>
        <v>0.58400000000000007</v>
      </c>
      <c r="D1041">
        <f t="shared" si="74"/>
        <v>0.88400000000000001</v>
      </c>
      <c r="E1041" s="3">
        <v>3.9</v>
      </c>
      <c r="F1041">
        <f t="shared" si="72"/>
        <v>0.58400000000000007</v>
      </c>
      <c r="G1041">
        <f t="shared" si="73"/>
        <v>5.8400000000000007E-2</v>
      </c>
    </row>
    <row r="1042" spans="1:7">
      <c r="A1042" s="1">
        <v>20150611</v>
      </c>
      <c r="B1042" s="1">
        <v>3</v>
      </c>
      <c r="C1042" s="2">
        <f t="shared" si="75"/>
        <v>0.4253333333333334</v>
      </c>
      <c r="D1042">
        <f t="shared" si="74"/>
        <v>0.72533333333333339</v>
      </c>
      <c r="E1042" s="3">
        <v>3.2</v>
      </c>
      <c r="F1042">
        <f t="shared" si="72"/>
        <v>0.4253333333333334</v>
      </c>
      <c r="G1042">
        <f t="shared" si="73"/>
        <v>0.14177777777777781</v>
      </c>
    </row>
    <row r="1043" spans="1:7">
      <c r="A1043" s="1">
        <v>20150611</v>
      </c>
      <c r="B1043" s="1">
        <v>6</v>
      </c>
      <c r="C1043" s="2">
        <f t="shared" si="75"/>
        <v>0.4253333333333334</v>
      </c>
      <c r="D1043">
        <f t="shared" si="74"/>
        <v>0.72533333333333339</v>
      </c>
      <c r="E1043" s="3">
        <v>3.2</v>
      </c>
      <c r="F1043">
        <f t="shared" si="72"/>
        <v>0.4253333333333334</v>
      </c>
      <c r="G1043">
        <f t="shared" si="73"/>
        <v>7.0888888888888904E-2</v>
      </c>
    </row>
    <row r="1044" spans="1:7">
      <c r="A1044" s="1">
        <v>20150611</v>
      </c>
      <c r="B1044" s="1">
        <v>1</v>
      </c>
      <c r="C1044" s="2">
        <f t="shared" si="75"/>
        <v>0.4253333333333334</v>
      </c>
      <c r="D1044">
        <f t="shared" si="74"/>
        <v>0.72533333333333339</v>
      </c>
      <c r="E1044" s="3">
        <v>3.2</v>
      </c>
      <c r="F1044">
        <f t="shared" si="72"/>
        <v>0.4253333333333334</v>
      </c>
      <c r="G1044">
        <f t="shared" si="73"/>
        <v>0.4253333333333334</v>
      </c>
    </row>
    <row r="1045" spans="1:7">
      <c r="A1045" s="1">
        <v>20150611</v>
      </c>
      <c r="B1045" s="1">
        <v>9</v>
      </c>
      <c r="C1045" s="2">
        <f t="shared" si="75"/>
        <v>0.4253333333333334</v>
      </c>
      <c r="D1045">
        <f t="shared" si="74"/>
        <v>0.72533333333333339</v>
      </c>
      <c r="E1045" s="3">
        <v>3.2</v>
      </c>
      <c r="F1045">
        <f t="shared" si="72"/>
        <v>0.4253333333333334</v>
      </c>
      <c r="G1045">
        <f t="shared" si="73"/>
        <v>4.7259259259259265E-2</v>
      </c>
    </row>
    <row r="1046" spans="1:7">
      <c r="A1046" s="1">
        <v>20150611</v>
      </c>
      <c r="B1046" s="1">
        <v>4</v>
      </c>
      <c r="C1046" s="2">
        <f t="shared" si="75"/>
        <v>0.4253333333333334</v>
      </c>
      <c r="D1046">
        <f t="shared" si="74"/>
        <v>0.72533333333333339</v>
      </c>
      <c r="E1046" s="3">
        <v>3.2</v>
      </c>
      <c r="F1046">
        <f t="shared" si="72"/>
        <v>0.4253333333333334</v>
      </c>
      <c r="G1046">
        <f t="shared" si="73"/>
        <v>0.10633333333333335</v>
      </c>
    </row>
    <row r="1047" spans="1:7">
      <c r="A1047" s="1">
        <v>20150611</v>
      </c>
      <c r="B1047" s="1">
        <v>4</v>
      </c>
      <c r="C1047" s="2">
        <f t="shared" si="75"/>
        <v>0.99199999999999999</v>
      </c>
      <c r="D1047">
        <f t="shared" si="74"/>
        <v>1.292</v>
      </c>
      <c r="E1047" s="3">
        <v>5.7</v>
      </c>
      <c r="F1047">
        <f t="shared" si="72"/>
        <v>0.99199999999999999</v>
      </c>
      <c r="G1047">
        <f t="shared" si="73"/>
        <v>0.248</v>
      </c>
    </row>
    <row r="1048" spans="1:7">
      <c r="A1048" s="1">
        <v>20150611</v>
      </c>
      <c r="B1048" s="1">
        <v>5</v>
      </c>
      <c r="C1048" s="2">
        <f t="shared" si="75"/>
        <v>0.99199999999999999</v>
      </c>
      <c r="D1048">
        <f t="shared" si="74"/>
        <v>1.292</v>
      </c>
      <c r="E1048" s="3">
        <v>5.7</v>
      </c>
      <c r="F1048">
        <f t="shared" si="72"/>
        <v>0.99199999999999999</v>
      </c>
      <c r="G1048">
        <f t="shared" si="73"/>
        <v>0.19839999999999999</v>
      </c>
    </row>
    <row r="1049" spans="1:7">
      <c r="A1049" s="1">
        <v>20150611</v>
      </c>
      <c r="B1049" s="1">
        <v>3</v>
      </c>
      <c r="C1049" s="2">
        <f t="shared" si="75"/>
        <v>0.99199999999999999</v>
      </c>
      <c r="D1049">
        <f t="shared" si="74"/>
        <v>1.292</v>
      </c>
      <c r="E1049" s="3">
        <v>5.7</v>
      </c>
      <c r="F1049">
        <f t="shared" si="72"/>
        <v>0.99199999999999999</v>
      </c>
      <c r="G1049">
        <f t="shared" si="73"/>
        <v>0.33066666666666666</v>
      </c>
    </row>
    <row r="1050" spans="1:7">
      <c r="A1050" s="1">
        <v>20150611</v>
      </c>
      <c r="B1050" s="1">
        <v>7</v>
      </c>
      <c r="C1050" s="2">
        <f t="shared" si="75"/>
        <v>0.99199999999999999</v>
      </c>
      <c r="D1050">
        <f t="shared" si="74"/>
        <v>1.292</v>
      </c>
      <c r="E1050" s="3">
        <v>5.7</v>
      </c>
      <c r="F1050">
        <f t="shared" si="72"/>
        <v>0.99199999999999999</v>
      </c>
      <c r="G1050">
        <f t="shared" si="73"/>
        <v>0.14171428571428571</v>
      </c>
    </row>
    <row r="1051" spans="1:7">
      <c r="A1051" s="1">
        <v>20150611</v>
      </c>
      <c r="B1051" s="1">
        <v>13</v>
      </c>
      <c r="C1051" s="2">
        <f t="shared" si="75"/>
        <v>0.99199999999999999</v>
      </c>
      <c r="D1051">
        <f t="shared" si="74"/>
        <v>1.292</v>
      </c>
      <c r="E1051" s="3">
        <v>5.7</v>
      </c>
      <c r="F1051">
        <f t="shared" si="72"/>
        <v>0.99199999999999999</v>
      </c>
      <c r="G1051">
        <f t="shared" si="73"/>
        <v>7.6307692307692312E-2</v>
      </c>
    </row>
    <row r="1052" spans="1:7">
      <c r="A1052" s="1">
        <v>20150611</v>
      </c>
      <c r="B1052" s="1">
        <v>11</v>
      </c>
      <c r="C1052" s="2">
        <f t="shared" si="75"/>
        <v>0.6293333333333333</v>
      </c>
      <c r="D1052">
        <f t="shared" si="74"/>
        <v>0.92933333333333334</v>
      </c>
      <c r="E1052" s="3">
        <v>4.0999999999999996</v>
      </c>
      <c r="F1052">
        <f t="shared" si="72"/>
        <v>0.6293333333333333</v>
      </c>
      <c r="G1052">
        <f t="shared" si="73"/>
        <v>5.7212121212121207E-2</v>
      </c>
    </row>
    <row r="1053" spans="1:7">
      <c r="A1053" s="1">
        <v>20150611</v>
      </c>
      <c r="B1053" s="1">
        <v>7</v>
      </c>
      <c r="C1053" s="2">
        <f t="shared" si="75"/>
        <v>0.6293333333333333</v>
      </c>
      <c r="D1053">
        <f t="shared" si="74"/>
        <v>0.92933333333333334</v>
      </c>
      <c r="E1053" s="3">
        <v>4.0999999999999996</v>
      </c>
      <c r="F1053">
        <f t="shared" si="72"/>
        <v>0.6293333333333333</v>
      </c>
      <c r="G1053">
        <f t="shared" si="73"/>
        <v>8.9904761904761904E-2</v>
      </c>
    </row>
    <row r="1054" spans="1:7">
      <c r="A1054" s="1">
        <v>20150611</v>
      </c>
      <c r="B1054" s="1">
        <v>7</v>
      </c>
      <c r="C1054" s="2">
        <f t="shared" si="75"/>
        <v>0.6293333333333333</v>
      </c>
      <c r="D1054">
        <f t="shared" si="74"/>
        <v>0.92933333333333334</v>
      </c>
      <c r="E1054" s="3">
        <v>4.0999999999999996</v>
      </c>
      <c r="F1054">
        <f t="shared" si="72"/>
        <v>0.6293333333333333</v>
      </c>
      <c r="G1054">
        <f t="shared" si="73"/>
        <v>8.9904761904761904E-2</v>
      </c>
    </row>
    <row r="1055" spans="1:7">
      <c r="A1055" s="1">
        <v>20150611</v>
      </c>
      <c r="B1055" s="1">
        <v>11</v>
      </c>
      <c r="C1055" s="2">
        <f t="shared" si="75"/>
        <v>0.6293333333333333</v>
      </c>
      <c r="D1055">
        <f t="shared" si="74"/>
        <v>0.92933333333333334</v>
      </c>
      <c r="E1055" s="3">
        <v>4.0999999999999996</v>
      </c>
      <c r="F1055">
        <f t="shared" si="72"/>
        <v>0.6293333333333333</v>
      </c>
      <c r="G1055">
        <f t="shared" si="73"/>
        <v>5.7212121212121207E-2</v>
      </c>
    </row>
    <row r="1056" spans="1:7">
      <c r="A1056" s="1">
        <v>20150611</v>
      </c>
      <c r="B1056" s="1">
        <v>18</v>
      </c>
      <c r="C1056" s="2">
        <f t="shared" si="75"/>
        <v>0.6293333333333333</v>
      </c>
      <c r="D1056">
        <f t="shared" si="74"/>
        <v>0.92933333333333334</v>
      </c>
      <c r="E1056" s="3">
        <v>4.0999999999999996</v>
      </c>
      <c r="F1056">
        <f t="shared" si="72"/>
        <v>0.6293333333333333</v>
      </c>
      <c r="G1056">
        <f t="shared" si="73"/>
        <v>3.496296296296296E-2</v>
      </c>
    </row>
    <row r="1057" spans="1:7">
      <c r="A1057" s="1">
        <v>20150611</v>
      </c>
      <c r="B1057" s="1">
        <v>12</v>
      </c>
      <c r="C1057" s="2">
        <f t="shared" si="75"/>
        <v>0.81066666666666687</v>
      </c>
      <c r="D1057">
        <f t="shared" si="74"/>
        <v>1.1106666666666669</v>
      </c>
      <c r="E1057" s="3">
        <v>4.9000000000000004</v>
      </c>
      <c r="F1057">
        <f t="shared" si="72"/>
        <v>0.81066666666666687</v>
      </c>
      <c r="G1057">
        <f t="shared" si="73"/>
        <v>6.7555555555555577E-2</v>
      </c>
    </row>
    <row r="1058" spans="1:7">
      <c r="A1058" s="1">
        <v>20150611</v>
      </c>
      <c r="B1058" s="1">
        <v>8</v>
      </c>
      <c r="C1058" s="2">
        <f t="shared" si="75"/>
        <v>0.81066666666666687</v>
      </c>
      <c r="D1058">
        <f t="shared" si="74"/>
        <v>1.1106666666666669</v>
      </c>
      <c r="E1058" s="3">
        <v>4.9000000000000004</v>
      </c>
      <c r="F1058">
        <f t="shared" si="72"/>
        <v>0.81066666666666687</v>
      </c>
      <c r="G1058">
        <f t="shared" si="73"/>
        <v>0.10133333333333336</v>
      </c>
    </row>
    <row r="1059" spans="1:7">
      <c r="A1059" s="1">
        <v>20150611</v>
      </c>
      <c r="B1059" s="1">
        <v>4</v>
      </c>
      <c r="C1059" s="2">
        <f t="shared" si="75"/>
        <v>0.81066666666666687</v>
      </c>
      <c r="D1059">
        <f t="shared" si="74"/>
        <v>1.1106666666666669</v>
      </c>
      <c r="E1059" s="3">
        <v>4.9000000000000004</v>
      </c>
      <c r="F1059">
        <f t="shared" si="72"/>
        <v>0.81066666666666687</v>
      </c>
      <c r="G1059">
        <f t="shared" si="73"/>
        <v>0.20266666666666672</v>
      </c>
    </row>
    <row r="1060" spans="1:7">
      <c r="A1060" s="1">
        <v>20150611</v>
      </c>
      <c r="B1060" s="1">
        <v>7</v>
      </c>
      <c r="C1060" s="2">
        <f t="shared" si="75"/>
        <v>0.81066666666666687</v>
      </c>
      <c r="D1060">
        <f t="shared" si="74"/>
        <v>1.1106666666666669</v>
      </c>
      <c r="E1060" s="3">
        <v>4.9000000000000004</v>
      </c>
      <c r="F1060">
        <f t="shared" si="72"/>
        <v>0.81066666666666687</v>
      </c>
      <c r="G1060">
        <f t="shared" si="73"/>
        <v>0.11580952380952383</v>
      </c>
    </row>
    <row r="1061" spans="1:7">
      <c r="A1061" s="1">
        <v>20150611</v>
      </c>
      <c r="B1061" s="1">
        <v>4</v>
      </c>
      <c r="C1061" s="2">
        <f t="shared" si="75"/>
        <v>0.81066666666666687</v>
      </c>
      <c r="D1061">
        <f t="shared" si="74"/>
        <v>1.1106666666666669</v>
      </c>
      <c r="E1061" s="3">
        <v>4.9000000000000004</v>
      </c>
      <c r="F1061">
        <f t="shared" si="72"/>
        <v>0.81066666666666687</v>
      </c>
      <c r="G1061">
        <f t="shared" si="73"/>
        <v>0.20266666666666672</v>
      </c>
    </row>
    <row r="1062" spans="1:7">
      <c r="A1062" s="1">
        <v>20150611</v>
      </c>
      <c r="B1062" s="1">
        <v>7</v>
      </c>
      <c r="C1062" s="2">
        <f t="shared" si="75"/>
        <v>0.4253333333333334</v>
      </c>
      <c r="D1062">
        <f t="shared" si="74"/>
        <v>0.72533333333333339</v>
      </c>
      <c r="E1062" s="3">
        <v>3.2</v>
      </c>
      <c r="F1062">
        <f t="shared" si="72"/>
        <v>0.4253333333333334</v>
      </c>
      <c r="G1062">
        <f t="shared" si="73"/>
        <v>6.0761904761904774E-2</v>
      </c>
    </row>
    <row r="1063" spans="1:7">
      <c r="A1063" s="1">
        <v>20150611</v>
      </c>
      <c r="B1063" s="1">
        <v>11</v>
      </c>
      <c r="C1063" s="2">
        <f t="shared" si="75"/>
        <v>0.4253333333333334</v>
      </c>
      <c r="D1063">
        <f t="shared" si="74"/>
        <v>0.72533333333333339</v>
      </c>
      <c r="E1063" s="3">
        <v>3.2</v>
      </c>
      <c r="F1063">
        <f t="shared" si="72"/>
        <v>0.4253333333333334</v>
      </c>
      <c r="G1063">
        <f t="shared" si="73"/>
        <v>3.8666666666666676E-2</v>
      </c>
    </row>
    <row r="1064" spans="1:7">
      <c r="A1064" s="1">
        <v>20150611</v>
      </c>
      <c r="B1064" s="1">
        <v>24</v>
      </c>
      <c r="C1064" s="2">
        <f t="shared" si="75"/>
        <v>0.4253333333333334</v>
      </c>
      <c r="D1064">
        <f t="shared" si="74"/>
        <v>0.72533333333333339</v>
      </c>
      <c r="E1064" s="3">
        <v>3.2</v>
      </c>
      <c r="F1064">
        <f t="shared" si="72"/>
        <v>0.4253333333333334</v>
      </c>
      <c r="G1064">
        <f t="shared" si="73"/>
        <v>1.7722222222222226E-2</v>
      </c>
    </row>
    <row r="1065" spans="1:7">
      <c r="A1065" s="1">
        <v>20150611</v>
      </c>
      <c r="B1065" s="1">
        <v>15</v>
      </c>
      <c r="C1065" s="2">
        <f t="shared" si="75"/>
        <v>0.4253333333333334</v>
      </c>
      <c r="D1065">
        <f t="shared" si="74"/>
        <v>0.72533333333333339</v>
      </c>
      <c r="E1065" s="3">
        <v>3.2</v>
      </c>
      <c r="F1065">
        <f t="shared" ref="F1065:F1128" si="76">C1065</f>
        <v>0.4253333333333334</v>
      </c>
      <c r="G1065">
        <f t="shared" ref="G1065:G1128" si="77">F1065/B1065</f>
        <v>2.8355555555555561E-2</v>
      </c>
    </row>
    <row r="1066" spans="1:7">
      <c r="A1066" s="1">
        <v>20150611</v>
      </c>
      <c r="B1066" s="1">
        <v>16</v>
      </c>
      <c r="C1066" s="2">
        <f t="shared" si="75"/>
        <v>0.4253333333333334</v>
      </c>
      <c r="D1066">
        <f t="shared" si="74"/>
        <v>0.72533333333333339</v>
      </c>
      <c r="E1066" s="3">
        <v>3.2</v>
      </c>
      <c r="F1066">
        <f t="shared" si="76"/>
        <v>0.4253333333333334</v>
      </c>
      <c r="G1066">
        <f t="shared" si="77"/>
        <v>2.6583333333333337E-2</v>
      </c>
    </row>
    <row r="1067" spans="1:7">
      <c r="A1067" s="1">
        <v>20150611</v>
      </c>
      <c r="B1067" s="1">
        <v>18</v>
      </c>
      <c r="C1067" s="2">
        <f t="shared" si="75"/>
        <v>0.58400000000000007</v>
      </c>
      <c r="D1067">
        <f t="shared" si="74"/>
        <v>0.88400000000000001</v>
      </c>
      <c r="E1067" s="3">
        <v>3.9</v>
      </c>
      <c r="F1067">
        <f t="shared" si="76"/>
        <v>0.58400000000000007</v>
      </c>
      <c r="G1067">
        <f t="shared" si="77"/>
        <v>3.2444444444444449E-2</v>
      </c>
    </row>
    <row r="1068" spans="1:7">
      <c r="A1068" s="1">
        <v>20150611</v>
      </c>
      <c r="B1068" s="1">
        <v>29</v>
      </c>
      <c r="C1068" s="2">
        <f t="shared" si="75"/>
        <v>0.58400000000000007</v>
      </c>
      <c r="D1068">
        <f t="shared" si="74"/>
        <v>0.88400000000000001</v>
      </c>
      <c r="E1068" s="3">
        <v>3.9</v>
      </c>
      <c r="F1068">
        <f t="shared" si="76"/>
        <v>0.58400000000000007</v>
      </c>
      <c r="G1068">
        <f t="shared" si="77"/>
        <v>2.0137931034482762E-2</v>
      </c>
    </row>
    <row r="1069" spans="1:7">
      <c r="A1069" s="1">
        <v>20150611</v>
      </c>
      <c r="B1069" s="1">
        <v>15</v>
      </c>
      <c r="C1069" s="2">
        <f t="shared" si="75"/>
        <v>0.58400000000000007</v>
      </c>
      <c r="D1069">
        <f t="shared" si="74"/>
        <v>0.88400000000000001</v>
      </c>
      <c r="E1069" s="3">
        <v>3.9</v>
      </c>
      <c r="F1069">
        <f t="shared" si="76"/>
        <v>0.58400000000000007</v>
      </c>
      <c r="G1069">
        <f t="shared" si="77"/>
        <v>3.8933333333333341E-2</v>
      </c>
    </row>
    <row r="1070" spans="1:7">
      <c r="A1070" s="1">
        <v>20150611</v>
      </c>
      <c r="B1070" s="1">
        <v>5</v>
      </c>
      <c r="C1070" s="2">
        <f t="shared" si="75"/>
        <v>0.58400000000000007</v>
      </c>
      <c r="D1070">
        <f t="shared" si="74"/>
        <v>0.88400000000000001</v>
      </c>
      <c r="E1070" s="3">
        <v>3.9</v>
      </c>
      <c r="F1070">
        <f t="shared" si="76"/>
        <v>0.58400000000000007</v>
      </c>
      <c r="G1070">
        <f t="shared" si="77"/>
        <v>0.11680000000000001</v>
      </c>
    </row>
    <row r="1071" spans="1:7">
      <c r="A1071" s="1">
        <v>20150611</v>
      </c>
      <c r="B1071" s="1">
        <v>12</v>
      </c>
      <c r="C1071" s="2">
        <f t="shared" si="75"/>
        <v>0.58400000000000007</v>
      </c>
      <c r="D1071">
        <f t="shared" si="74"/>
        <v>0.88400000000000001</v>
      </c>
      <c r="E1071" s="3">
        <v>3.9</v>
      </c>
      <c r="F1071">
        <f t="shared" si="76"/>
        <v>0.58400000000000007</v>
      </c>
      <c r="G1071">
        <f t="shared" si="77"/>
        <v>4.8666666666666671E-2</v>
      </c>
    </row>
    <row r="1072" spans="1:7">
      <c r="A1072" s="1">
        <v>20150611</v>
      </c>
      <c r="B1072" s="1">
        <v>14</v>
      </c>
      <c r="C1072" s="2">
        <f t="shared" si="75"/>
        <v>0.4253333333333334</v>
      </c>
      <c r="D1072">
        <f t="shared" si="74"/>
        <v>0.72533333333333339</v>
      </c>
      <c r="E1072" s="3">
        <v>3.2</v>
      </c>
      <c r="F1072">
        <f t="shared" si="76"/>
        <v>0.4253333333333334</v>
      </c>
      <c r="G1072">
        <f t="shared" si="77"/>
        <v>3.0380952380952387E-2</v>
      </c>
    </row>
    <row r="1073" spans="1:7">
      <c r="A1073" s="1">
        <v>20150611</v>
      </c>
      <c r="B1073" s="1">
        <v>28</v>
      </c>
      <c r="C1073" s="2">
        <f t="shared" si="75"/>
        <v>0.4253333333333334</v>
      </c>
      <c r="D1073">
        <f t="shared" si="74"/>
        <v>0.72533333333333339</v>
      </c>
      <c r="E1073" s="3">
        <v>3.2</v>
      </c>
      <c r="F1073">
        <f t="shared" si="76"/>
        <v>0.4253333333333334</v>
      </c>
      <c r="G1073">
        <f t="shared" si="77"/>
        <v>1.5190476190476193E-2</v>
      </c>
    </row>
    <row r="1074" spans="1:7">
      <c r="A1074" s="1">
        <v>20150611</v>
      </c>
      <c r="B1074" s="1">
        <v>28</v>
      </c>
      <c r="C1074" s="2">
        <f t="shared" si="75"/>
        <v>0.4253333333333334</v>
      </c>
      <c r="D1074">
        <f t="shared" ref="D1074:D1137" si="78">0.17*($H$3/12)*E1074</f>
        <v>0.72533333333333339</v>
      </c>
      <c r="E1074" s="3">
        <v>3.2</v>
      </c>
      <c r="F1074">
        <f t="shared" si="76"/>
        <v>0.4253333333333334</v>
      </c>
      <c r="G1074">
        <f t="shared" si="77"/>
        <v>1.5190476190476193E-2</v>
      </c>
    </row>
    <row r="1075" spans="1:7">
      <c r="A1075" s="1">
        <v>20150611</v>
      </c>
      <c r="B1075" s="1">
        <v>35</v>
      </c>
      <c r="C1075" s="2">
        <f t="shared" si="75"/>
        <v>0.4253333333333334</v>
      </c>
      <c r="D1075">
        <f t="shared" si="78"/>
        <v>0.72533333333333339</v>
      </c>
      <c r="E1075" s="3">
        <v>3.2</v>
      </c>
      <c r="F1075">
        <f t="shared" si="76"/>
        <v>0.4253333333333334</v>
      </c>
      <c r="G1075">
        <f t="shared" si="77"/>
        <v>1.2152380952380954E-2</v>
      </c>
    </row>
    <row r="1076" spans="1:7">
      <c r="A1076" s="1">
        <v>20150611</v>
      </c>
      <c r="B1076" s="1">
        <v>21</v>
      </c>
      <c r="C1076" s="2">
        <f t="shared" ref="C1076:C1139" si="79">D1076-$S$46</f>
        <v>0.4253333333333334</v>
      </c>
      <c r="D1076">
        <f t="shared" si="78"/>
        <v>0.72533333333333339</v>
      </c>
      <c r="E1076" s="3">
        <v>3.2</v>
      </c>
      <c r="F1076">
        <f t="shared" si="76"/>
        <v>0.4253333333333334</v>
      </c>
      <c r="G1076">
        <f t="shared" si="77"/>
        <v>2.0253968253968257E-2</v>
      </c>
    </row>
    <row r="1077" spans="1:7">
      <c r="A1077" s="1">
        <v>20150611</v>
      </c>
      <c r="B1077" s="1">
        <v>35</v>
      </c>
      <c r="C1077" s="2">
        <f t="shared" si="79"/>
        <v>0.99199999999999999</v>
      </c>
      <c r="D1077">
        <f t="shared" si="78"/>
        <v>1.292</v>
      </c>
      <c r="E1077" s="3">
        <v>5.7</v>
      </c>
      <c r="F1077">
        <f t="shared" si="76"/>
        <v>0.99199999999999999</v>
      </c>
      <c r="G1077">
        <f t="shared" si="77"/>
        <v>2.8342857142857142E-2</v>
      </c>
    </row>
    <row r="1078" spans="1:7">
      <c r="A1078" s="1">
        <v>20150611</v>
      </c>
      <c r="B1078" s="1">
        <v>22</v>
      </c>
      <c r="C1078" s="2">
        <f t="shared" si="79"/>
        <v>0.99199999999999999</v>
      </c>
      <c r="D1078">
        <f t="shared" si="78"/>
        <v>1.292</v>
      </c>
      <c r="E1078" s="3">
        <v>5.7</v>
      </c>
      <c r="F1078">
        <f t="shared" si="76"/>
        <v>0.99199999999999999</v>
      </c>
      <c r="G1078">
        <f t="shared" si="77"/>
        <v>4.5090909090909091E-2</v>
      </c>
    </row>
    <row r="1079" spans="1:7">
      <c r="A1079" s="1">
        <v>20150611</v>
      </c>
      <c r="B1079" s="1">
        <v>15</v>
      </c>
      <c r="C1079" s="2">
        <f t="shared" si="79"/>
        <v>0.99199999999999999</v>
      </c>
      <c r="D1079">
        <f t="shared" si="78"/>
        <v>1.292</v>
      </c>
      <c r="E1079" s="3">
        <v>5.7</v>
      </c>
      <c r="F1079">
        <f t="shared" si="76"/>
        <v>0.99199999999999999</v>
      </c>
      <c r="G1079">
        <f t="shared" si="77"/>
        <v>6.6133333333333336E-2</v>
      </c>
    </row>
    <row r="1080" spans="1:7">
      <c r="A1080" s="1">
        <v>20150611</v>
      </c>
      <c r="B1080" s="1">
        <v>17</v>
      </c>
      <c r="C1080" s="2">
        <f t="shared" si="79"/>
        <v>0.99199999999999999</v>
      </c>
      <c r="D1080">
        <f t="shared" si="78"/>
        <v>1.292</v>
      </c>
      <c r="E1080" s="3">
        <v>5.7</v>
      </c>
      <c r="F1080">
        <f t="shared" si="76"/>
        <v>0.99199999999999999</v>
      </c>
      <c r="G1080">
        <f t="shared" si="77"/>
        <v>5.8352941176470587E-2</v>
      </c>
    </row>
    <row r="1081" spans="1:7">
      <c r="A1081" s="1">
        <v>20150611</v>
      </c>
      <c r="B1081" s="1">
        <v>14</v>
      </c>
      <c r="C1081" s="2">
        <f t="shared" si="79"/>
        <v>0.99199999999999999</v>
      </c>
      <c r="D1081">
        <f t="shared" si="78"/>
        <v>1.292</v>
      </c>
      <c r="E1081" s="3">
        <v>5.7</v>
      </c>
      <c r="F1081">
        <f t="shared" si="76"/>
        <v>0.99199999999999999</v>
      </c>
      <c r="G1081">
        <f t="shared" si="77"/>
        <v>7.0857142857142855E-2</v>
      </c>
    </row>
    <row r="1082" spans="1:7">
      <c r="A1082" s="1">
        <v>20150611</v>
      </c>
      <c r="B1082" s="1">
        <v>44</v>
      </c>
      <c r="C1082" s="2">
        <f t="shared" si="79"/>
        <v>0.6293333333333333</v>
      </c>
      <c r="D1082">
        <f t="shared" si="78"/>
        <v>0.92933333333333334</v>
      </c>
      <c r="E1082" s="3">
        <v>4.0999999999999996</v>
      </c>
      <c r="F1082">
        <f t="shared" si="76"/>
        <v>0.6293333333333333</v>
      </c>
      <c r="G1082">
        <f t="shared" si="77"/>
        <v>1.4303030303030302E-2</v>
      </c>
    </row>
    <row r="1083" spans="1:7">
      <c r="A1083" s="1">
        <v>20150611</v>
      </c>
      <c r="B1083" s="1">
        <v>36</v>
      </c>
      <c r="C1083" s="2">
        <f t="shared" si="79"/>
        <v>0.6293333333333333</v>
      </c>
      <c r="D1083">
        <f t="shared" si="78"/>
        <v>0.92933333333333334</v>
      </c>
      <c r="E1083" s="3">
        <v>4.0999999999999996</v>
      </c>
      <c r="F1083">
        <f t="shared" si="76"/>
        <v>0.6293333333333333</v>
      </c>
      <c r="G1083">
        <f t="shared" si="77"/>
        <v>1.748148148148148E-2</v>
      </c>
    </row>
    <row r="1084" spans="1:7">
      <c r="A1084" s="1">
        <v>20150611</v>
      </c>
      <c r="B1084" s="1">
        <v>38</v>
      </c>
      <c r="C1084" s="2">
        <f t="shared" si="79"/>
        <v>0.6293333333333333</v>
      </c>
      <c r="D1084">
        <f t="shared" si="78"/>
        <v>0.92933333333333334</v>
      </c>
      <c r="E1084" s="3">
        <v>4.0999999999999996</v>
      </c>
      <c r="F1084">
        <f t="shared" si="76"/>
        <v>0.6293333333333333</v>
      </c>
      <c r="G1084">
        <f t="shared" si="77"/>
        <v>1.656140350877193E-2</v>
      </c>
    </row>
    <row r="1085" spans="1:7">
      <c r="A1085" s="1">
        <v>20150611</v>
      </c>
      <c r="B1085" s="1">
        <v>60</v>
      </c>
      <c r="C1085" s="2">
        <f t="shared" si="79"/>
        <v>0.6293333333333333</v>
      </c>
      <c r="D1085">
        <f t="shared" si="78"/>
        <v>0.92933333333333334</v>
      </c>
      <c r="E1085" s="3">
        <v>4.0999999999999996</v>
      </c>
      <c r="F1085">
        <f t="shared" si="76"/>
        <v>0.6293333333333333</v>
      </c>
      <c r="G1085">
        <f t="shared" si="77"/>
        <v>1.0488888888888888E-2</v>
      </c>
    </row>
    <row r="1086" spans="1:7">
      <c r="A1086" s="1">
        <v>20150611</v>
      </c>
      <c r="B1086" s="1">
        <v>8</v>
      </c>
      <c r="C1086" s="2">
        <f t="shared" si="79"/>
        <v>0.6293333333333333</v>
      </c>
      <c r="D1086">
        <f t="shared" si="78"/>
        <v>0.92933333333333334</v>
      </c>
      <c r="E1086" s="3">
        <v>4.0999999999999996</v>
      </c>
      <c r="F1086">
        <f t="shared" si="76"/>
        <v>0.6293333333333333</v>
      </c>
      <c r="G1086">
        <f t="shared" si="77"/>
        <v>7.8666666666666663E-2</v>
      </c>
    </row>
    <row r="1087" spans="1:7">
      <c r="A1087" s="1">
        <v>20150611</v>
      </c>
      <c r="B1087" s="1">
        <v>22</v>
      </c>
      <c r="C1087" s="2">
        <f t="shared" si="79"/>
        <v>0.81066666666666687</v>
      </c>
      <c r="D1087">
        <f t="shared" si="78"/>
        <v>1.1106666666666669</v>
      </c>
      <c r="E1087" s="3">
        <v>4.9000000000000004</v>
      </c>
      <c r="F1087">
        <f t="shared" si="76"/>
        <v>0.81066666666666687</v>
      </c>
      <c r="G1087">
        <f t="shared" si="77"/>
        <v>3.684848484848486E-2</v>
      </c>
    </row>
    <row r="1088" spans="1:7">
      <c r="A1088" s="1">
        <v>20150611</v>
      </c>
      <c r="B1088" s="1">
        <v>22</v>
      </c>
      <c r="C1088" s="2">
        <f t="shared" si="79"/>
        <v>0.81066666666666687</v>
      </c>
      <c r="D1088">
        <f t="shared" si="78"/>
        <v>1.1106666666666669</v>
      </c>
      <c r="E1088" s="3">
        <v>4.9000000000000004</v>
      </c>
      <c r="F1088">
        <f t="shared" si="76"/>
        <v>0.81066666666666687</v>
      </c>
      <c r="G1088">
        <f t="shared" si="77"/>
        <v>3.684848484848486E-2</v>
      </c>
    </row>
    <row r="1089" spans="1:7">
      <c r="A1089" s="1">
        <v>20150611</v>
      </c>
      <c r="B1089" s="1">
        <v>17</v>
      </c>
      <c r="C1089" s="2">
        <f t="shared" si="79"/>
        <v>0.81066666666666687</v>
      </c>
      <c r="D1089">
        <f t="shared" si="78"/>
        <v>1.1106666666666669</v>
      </c>
      <c r="E1089" s="3">
        <v>4.9000000000000004</v>
      </c>
      <c r="F1089">
        <f t="shared" si="76"/>
        <v>0.81066666666666687</v>
      </c>
      <c r="G1089">
        <f t="shared" si="77"/>
        <v>4.7686274509803936E-2</v>
      </c>
    </row>
    <row r="1090" spans="1:7">
      <c r="A1090" s="1">
        <v>20150611</v>
      </c>
      <c r="B1090" s="1">
        <v>32</v>
      </c>
      <c r="C1090" s="2">
        <f t="shared" si="79"/>
        <v>0.81066666666666687</v>
      </c>
      <c r="D1090">
        <f t="shared" si="78"/>
        <v>1.1106666666666669</v>
      </c>
      <c r="E1090" s="3">
        <v>4.9000000000000004</v>
      </c>
      <c r="F1090">
        <f t="shared" si="76"/>
        <v>0.81066666666666687</v>
      </c>
      <c r="G1090">
        <f t="shared" si="77"/>
        <v>2.533333333333334E-2</v>
      </c>
    </row>
    <row r="1091" spans="1:7">
      <c r="A1091" s="1">
        <v>20150611</v>
      </c>
      <c r="B1091" s="1">
        <v>35</v>
      </c>
      <c r="C1091" s="2">
        <f t="shared" si="79"/>
        <v>0.81066666666666687</v>
      </c>
      <c r="D1091">
        <f t="shared" si="78"/>
        <v>1.1106666666666669</v>
      </c>
      <c r="E1091" s="3">
        <v>4.9000000000000004</v>
      </c>
      <c r="F1091">
        <f t="shared" si="76"/>
        <v>0.81066666666666687</v>
      </c>
      <c r="G1091">
        <f t="shared" si="77"/>
        <v>2.3161904761904769E-2</v>
      </c>
    </row>
    <row r="1092" spans="1:7">
      <c r="A1092" s="1">
        <v>20150611</v>
      </c>
      <c r="B1092" s="1">
        <v>39</v>
      </c>
      <c r="C1092" s="2">
        <f t="shared" si="79"/>
        <v>0.4253333333333334</v>
      </c>
      <c r="D1092">
        <f t="shared" si="78"/>
        <v>0.72533333333333339</v>
      </c>
      <c r="E1092" s="3">
        <v>3.2</v>
      </c>
      <c r="F1092">
        <f t="shared" si="76"/>
        <v>0.4253333333333334</v>
      </c>
      <c r="G1092">
        <f t="shared" si="77"/>
        <v>1.0905982905982908E-2</v>
      </c>
    </row>
    <row r="1093" spans="1:7">
      <c r="A1093" s="1">
        <v>20150611</v>
      </c>
      <c r="B1093" s="1">
        <v>52</v>
      </c>
      <c r="C1093" s="2">
        <f t="shared" si="79"/>
        <v>0.4253333333333334</v>
      </c>
      <c r="D1093">
        <f t="shared" si="78"/>
        <v>0.72533333333333339</v>
      </c>
      <c r="E1093" s="3">
        <v>3.2</v>
      </c>
      <c r="F1093">
        <f t="shared" si="76"/>
        <v>0.4253333333333334</v>
      </c>
      <c r="G1093">
        <f t="shared" si="77"/>
        <v>8.1794871794871812E-3</v>
      </c>
    </row>
    <row r="1094" spans="1:7">
      <c r="A1094" s="1">
        <v>20150611</v>
      </c>
      <c r="B1094" s="1">
        <v>37</v>
      </c>
      <c r="C1094" s="2">
        <f t="shared" si="79"/>
        <v>0.4253333333333334</v>
      </c>
      <c r="D1094">
        <f t="shared" si="78"/>
        <v>0.72533333333333339</v>
      </c>
      <c r="E1094" s="3">
        <v>3.2</v>
      </c>
      <c r="F1094">
        <f t="shared" si="76"/>
        <v>0.4253333333333334</v>
      </c>
      <c r="G1094">
        <f t="shared" si="77"/>
        <v>1.1495495495495497E-2</v>
      </c>
    </row>
    <row r="1095" spans="1:7">
      <c r="A1095" s="1">
        <v>20150611</v>
      </c>
      <c r="B1095" s="1">
        <v>37</v>
      </c>
      <c r="C1095" s="2">
        <f t="shared" si="79"/>
        <v>0.4253333333333334</v>
      </c>
      <c r="D1095">
        <f t="shared" si="78"/>
        <v>0.72533333333333339</v>
      </c>
      <c r="E1095" s="3">
        <v>3.2</v>
      </c>
      <c r="F1095">
        <f t="shared" si="76"/>
        <v>0.4253333333333334</v>
      </c>
      <c r="G1095">
        <f t="shared" si="77"/>
        <v>1.1495495495495497E-2</v>
      </c>
    </row>
    <row r="1096" spans="1:7">
      <c r="A1096" s="1">
        <v>20150611</v>
      </c>
      <c r="B1096" s="1">
        <v>49</v>
      </c>
      <c r="C1096" s="2">
        <f t="shared" si="79"/>
        <v>0.4253333333333334</v>
      </c>
      <c r="D1096">
        <f t="shared" si="78"/>
        <v>0.72533333333333339</v>
      </c>
      <c r="E1096" s="3">
        <v>3.2</v>
      </c>
      <c r="F1096">
        <f t="shared" si="76"/>
        <v>0.4253333333333334</v>
      </c>
      <c r="G1096">
        <f t="shared" si="77"/>
        <v>8.6802721088435394E-3</v>
      </c>
    </row>
    <row r="1097" spans="1:7">
      <c r="A1097" s="1">
        <v>20150611</v>
      </c>
      <c r="B1097" s="1">
        <v>27</v>
      </c>
      <c r="C1097" s="2">
        <f t="shared" si="79"/>
        <v>0.58400000000000007</v>
      </c>
      <c r="D1097">
        <f t="shared" si="78"/>
        <v>0.88400000000000001</v>
      </c>
      <c r="E1097" s="3">
        <v>3.9</v>
      </c>
      <c r="F1097">
        <f t="shared" si="76"/>
        <v>0.58400000000000007</v>
      </c>
      <c r="G1097">
        <f t="shared" si="77"/>
        <v>2.1629629629629634E-2</v>
      </c>
    </row>
    <row r="1098" spans="1:7">
      <c r="A1098" s="1">
        <v>20150611</v>
      </c>
      <c r="B1098" s="1">
        <v>25</v>
      </c>
      <c r="C1098" s="2">
        <f t="shared" si="79"/>
        <v>0.58400000000000007</v>
      </c>
      <c r="D1098">
        <f t="shared" si="78"/>
        <v>0.88400000000000001</v>
      </c>
      <c r="E1098" s="3">
        <v>3.9</v>
      </c>
      <c r="F1098">
        <f t="shared" si="76"/>
        <v>0.58400000000000007</v>
      </c>
      <c r="G1098">
        <f t="shared" si="77"/>
        <v>2.3360000000000002E-2</v>
      </c>
    </row>
    <row r="1099" spans="1:7">
      <c r="A1099" s="1">
        <v>20150611</v>
      </c>
      <c r="B1099" s="1">
        <v>39</v>
      </c>
      <c r="C1099" s="2">
        <f t="shared" si="79"/>
        <v>0.58400000000000007</v>
      </c>
      <c r="D1099">
        <f t="shared" si="78"/>
        <v>0.88400000000000001</v>
      </c>
      <c r="E1099" s="3">
        <v>3.9</v>
      </c>
      <c r="F1099">
        <f t="shared" si="76"/>
        <v>0.58400000000000007</v>
      </c>
      <c r="G1099">
        <f t="shared" si="77"/>
        <v>1.4974358974358976E-2</v>
      </c>
    </row>
    <row r="1100" spans="1:7">
      <c r="A1100" s="1">
        <v>20150611</v>
      </c>
      <c r="B1100" s="1">
        <v>47</v>
      </c>
      <c r="C1100" s="2">
        <f t="shared" si="79"/>
        <v>0.58400000000000007</v>
      </c>
      <c r="D1100">
        <f t="shared" si="78"/>
        <v>0.88400000000000001</v>
      </c>
      <c r="E1100" s="3">
        <v>3.9</v>
      </c>
      <c r="F1100">
        <f t="shared" si="76"/>
        <v>0.58400000000000007</v>
      </c>
      <c r="G1100">
        <f t="shared" si="77"/>
        <v>1.2425531914893619E-2</v>
      </c>
    </row>
    <row r="1101" spans="1:7">
      <c r="A1101" s="1">
        <v>20150611</v>
      </c>
      <c r="B1101" s="1">
        <v>39</v>
      </c>
      <c r="C1101" s="2">
        <f t="shared" si="79"/>
        <v>0.58400000000000007</v>
      </c>
      <c r="D1101">
        <f t="shared" si="78"/>
        <v>0.88400000000000001</v>
      </c>
      <c r="E1101" s="3">
        <v>3.9</v>
      </c>
      <c r="F1101">
        <f t="shared" si="76"/>
        <v>0.58400000000000007</v>
      </c>
      <c r="G1101">
        <f t="shared" si="77"/>
        <v>1.4974358974358976E-2</v>
      </c>
    </row>
    <row r="1102" spans="1:7">
      <c r="A1102" s="1">
        <v>20150611</v>
      </c>
      <c r="B1102" s="1">
        <v>47</v>
      </c>
      <c r="C1102" s="2">
        <f t="shared" si="79"/>
        <v>0.4253333333333334</v>
      </c>
      <c r="D1102">
        <f t="shared" si="78"/>
        <v>0.72533333333333339</v>
      </c>
      <c r="E1102" s="3">
        <v>3.2</v>
      </c>
      <c r="F1102">
        <f t="shared" si="76"/>
        <v>0.4253333333333334</v>
      </c>
      <c r="G1102">
        <f t="shared" si="77"/>
        <v>9.0496453900709237E-3</v>
      </c>
    </row>
    <row r="1103" spans="1:7">
      <c r="A1103" s="1">
        <v>20150611</v>
      </c>
      <c r="B1103" s="1">
        <v>23</v>
      </c>
      <c r="C1103" s="2">
        <f t="shared" si="79"/>
        <v>0.4253333333333334</v>
      </c>
      <c r="D1103">
        <f t="shared" si="78"/>
        <v>0.72533333333333339</v>
      </c>
      <c r="E1103" s="3">
        <v>3.2</v>
      </c>
      <c r="F1103">
        <f t="shared" si="76"/>
        <v>0.4253333333333334</v>
      </c>
      <c r="G1103">
        <f t="shared" si="77"/>
        <v>1.8492753623188408E-2</v>
      </c>
    </row>
    <row r="1104" spans="1:7">
      <c r="A1104" s="1">
        <v>20150611</v>
      </c>
      <c r="B1104" s="1">
        <v>57</v>
      </c>
      <c r="C1104" s="2">
        <f t="shared" si="79"/>
        <v>0.4253333333333334</v>
      </c>
      <c r="D1104">
        <f t="shared" si="78"/>
        <v>0.72533333333333339</v>
      </c>
      <c r="E1104" s="3">
        <v>3.2</v>
      </c>
      <c r="F1104">
        <f t="shared" si="76"/>
        <v>0.4253333333333334</v>
      </c>
      <c r="G1104">
        <f t="shared" si="77"/>
        <v>7.4619883040935682E-3</v>
      </c>
    </row>
    <row r="1105" spans="1:7">
      <c r="A1105" s="1">
        <v>20150611</v>
      </c>
      <c r="B1105" s="1">
        <v>20</v>
      </c>
      <c r="C1105" s="2">
        <f t="shared" si="79"/>
        <v>0.4253333333333334</v>
      </c>
      <c r="D1105">
        <f t="shared" si="78"/>
        <v>0.72533333333333339</v>
      </c>
      <c r="E1105" s="3">
        <v>3.2</v>
      </c>
      <c r="F1105">
        <f t="shared" si="76"/>
        <v>0.4253333333333334</v>
      </c>
      <c r="G1105">
        <f t="shared" si="77"/>
        <v>2.126666666666667E-2</v>
      </c>
    </row>
    <row r="1106" spans="1:7">
      <c r="A1106" s="1">
        <v>20150611</v>
      </c>
      <c r="B1106" s="1">
        <v>50</v>
      </c>
      <c r="C1106" s="2">
        <f t="shared" si="79"/>
        <v>0.4253333333333334</v>
      </c>
      <c r="D1106">
        <f t="shared" si="78"/>
        <v>0.72533333333333339</v>
      </c>
      <c r="E1106" s="3">
        <v>3.2</v>
      </c>
      <c r="F1106">
        <f t="shared" si="76"/>
        <v>0.4253333333333334</v>
      </c>
      <c r="G1106">
        <f t="shared" si="77"/>
        <v>8.5066666666666676E-3</v>
      </c>
    </row>
    <row r="1107" spans="1:7">
      <c r="A1107" s="1">
        <v>20150611</v>
      </c>
      <c r="B1107" s="1">
        <v>31</v>
      </c>
      <c r="C1107" s="2">
        <f t="shared" si="79"/>
        <v>0.99199999999999999</v>
      </c>
      <c r="D1107">
        <f t="shared" si="78"/>
        <v>1.292</v>
      </c>
      <c r="E1107" s="3">
        <v>5.7</v>
      </c>
      <c r="F1107">
        <f t="shared" si="76"/>
        <v>0.99199999999999999</v>
      </c>
      <c r="G1107">
        <f t="shared" si="77"/>
        <v>3.2000000000000001E-2</v>
      </c>
    </row>
    <row r="1108" spans="1:7">
      <c r="A1108" s="1">
        <v>20150611</v>
      </c>
      <c r="B1108" s="1">
        <v>33</v>
      </c>
      <c r="C1108" s="2">
        <f t="shared" si="79"/>
        <v>0.99199999999999999</v>
      </c>
      <c r="D1108">
        <f t="shared" si="78"/>
        <v>1.292</v>
      </c>
      <c r="E1108" s="3">
        <v>5.7</v>
      </c>
      <c r="F1108">
        <f t="shared" si="76"/>
        <v>0.99199999999999999</v>
      </c>
      <c r="G1108">
        <f t="shared" si="77"/>
        <v>3.0060606060606062E-2</v>
      </c>
    </row>
    <row r="1109" spans="1:7">
      <c r="A1109" s="1">
        <v>20150611</v>
      </c>
      <c r="B1109" s="1">
        <v>32</v>
      </c>
      <c r="C1109" s="2">
        <f t="shared" si="79"/>
        <v>0.99199999999999999</v>
      </c>
      <c r="D1109">
        <f t="shared" si="78"/>
        <v>1.292</v>
      </c>
      <c r="E1109" s="3">
        <v>5.7</v>
      </c>
      <c r="F1109">
        <f t="shared" si="76"/>
        <v>0.99199999999999999</v>
      </c>
      <c r="G1109">
        <f t="shared" si="77"/>
        <v>3.1E-2</v>
      </c>
    </row>
    <row r="1110" spans="1:7">
      <c r="A1110" s="1">
        <v>20150611</v>
      </c>
      <c r="B1110" s="1">
        <v>41</v>
      </c>
      <c r="C1110" s="2">
        <f t="shared" si="79"/>
        <v>0.99199999999999999</v>
      </c>
      <c r="D1110">
        <f t="shared" si="78"/>
        <v>1.292</v>
      </c>
      <c r="E1110" s="3">
        <v>5.7</v>
      </c>
      <c r="F1110">
        <f t="shared" si="76"/>
        <v>0.99199999999999999</v>
      </c>
      <c r="G1110">
        <f t="shared" si="77"/>
        <v>2.4195121951219513E-2</v>
      </c>
    </row>
    <row r="1111" spans="1:7">
      <c r="A1111" s="1">
        <v>20150611</v>
      </c>
      <c r="B1111" s="1">
        <v>45</v>
      </c>
      <c r="C1111" s="2">
        <f t="shared" si="79"/>
        <v>0.99199999999999999</v>
      </c>
      <c r="D1111">
        <f t="shared" si="78"/>
        <v>1.292</v>
      </c>
      <c r="E1111" s="3">
        <v>5.7</v>
      </c>
      <c r="F1111">
        <f t="shared" si="76"/>
        <v>0.99199999999999999</v>
      </c>
      <c r="G1111">
        <f t="shared" si="77"/>
        <v>2.2044444444444443E-2</v>
      </c>
    </row>
    <row r="1112" spans="1:7">
      <c r="A1112" s="1">
        <v>20150611</v>
      </c>
      <c r="B1112" s="1">
        <v>61</v>
      </c>
      <c r="C1112" s="2">
        <f t="shared" si="79"/>
        <v>0.6293333333333333</v>
      </c>
      <c r="D1112">
        <f t="shared" si="78"/>
        <v>0.92933333333333334</v>
      </c>
      <c r="E1112" s="3">
        <v>4.0999999999999996</v>
      </c>
      <c r="F1112">
        <f t="shared" si="76"/>
        <v>0.6293333333333333</v>
      </c>
      <c r="G1112">
        <f t="shared" si="77"/>
        <v>1.0316939890710381E-2</v>
      </c>
    </row>
    <row r="1113" spans="1:7">
      <c r="A1113" s="1">
        <v>20150611</v>
      </c>
      <c r="B1113" s="1">
        <v>52</v>
      </c>
      <c r="C1113" s="2">
        <f t="shared" si="79"/>
        <v>0.6293333333333333</v>
      </c>
      <c r="D1113">
        <f t="shared" si="78"/>
        <v>0.92933333333333334</v>
      </c>
      <c r="E1113" s="3">
        <v>4.0999999999999996</v>
      </c>
      <c r="F1113">
        <f t="shared" si="76"/>
        <v>0.6293333333333333</v>
      </c>
      <c r="G1113">
        <f t="shared" si="77"/>
        <v>1.2102564102564103E-2</v>
      </c>
    </row>
    <row r="1114" spans="1:7">
      <c r="A1114" s="1">
        <v>20150611</v>
      </c>
      <c r="B1114" s="1">
        <v>50</v>
      </c>
      <c r="C1114" s="2">
        <f t="shared" si="79"/>
        <v>0.6293333333333333</v>
      </c>
      <c r="D1114">
        <f t="shared" si="78"/>
        <v>0.92933333333333334</v>
      </c>
      <c r="E1114" s="3">
        <v>4.0999999999999996</v>
      </c>
      <c r="F1114">
        <f t="shared" si="76"/>
        <v>0.6293333333333333</v>
      </c>
      <c r="G1114">
        <f t="shared" si="77"/>
        <v>1.2586666666666666E-2</v>
      </c>
    </row>
    <row r="1115" spans="1:7">
      <c r="A1115" s="1">
        <v>20150611</v>
      </c>
      <c r="B1115" s="1">
        <v>46</v>
      </c>
      <c r="C1115" s="2">
        <f t="shared" si="79"/>
        <v>0.6293333333333333</v>
      </c>
      <c r="D1115">
        <f t="shared" si="78"/>
        <v>0.92933333333333334</v>
      </c>
      <c r="E1115" s="3">
        <v>4.0999999999999996</v>
      </c>
      <c r="F1115">
        <f t="shared" si="76"/>
        <v>0.6293333333333333</v>
      </c>
      <c r="G1115">
        <f t="shared" si="77"/>
        <v>1.3681159420289855E-2</v>
      </c>
    </row>
    <row r="1116" spans="1:7">
      <c r="A1116" s="1">
        <v>20150611</v>
      </c>
      <c r="B1116" s="1">
        <v>53</v>
      </c>
      <c r="C1116" s="2">
        <f t="shared" si="79"/>
        <v>0.6293333333333333</v>
      </c>
      <c r="D1116">
        <f t="shared" si="78"/>
        <v>0.92933333333333334</v>
      </c>
      <c r="E1116" s="3">
        <v>4.0999999999999996</v>
      </c>
      <c r="F1116">
        <f t="shared" si="76"/>
        <v>0.6293333333333333</v>
      </c>
      <c r="G1116">
        <f t="shared" si="77"/>
        <v>1.1874213836477987E-2</v>
      </c>
    </row>
    <row r="1117" spans="1:7">
      <c r="A1117" s="1">
        <v>20150611</v>
      </c>
      <c r="B1117" s="1">
        <v>43</v>
      </c>
      <c r="C1117" s="2">
        <f t="shared" si="79"/>
        <v>0.81066666666666687</v>
      </c>
      <c r="D1117">
        <f t="shared" si="78"/>
        <v>1.1106666666666669</v>
      </c>
      <c r="E1117" s="3">
        <v>4.9000000000000004</v>
      </c>
      <c r="F1117">
        <f t="shared" si="76"/>
        <v>0.81066666666666687</v>
      </c>
      <c r="G1117">
        <f t="shared" si="77"/>
        <v>1.8852713178294577E-2</v>
      </c>
    </row>
    <row r="1118" spans="1:7">
      <c r="A1118" s="1">
        <v>20150611</v>
      </c>
      <c r="B1118" s="1">
        <v>39</v>
      </c>
      <c r="C1118" s="2">
        <f t="shared" si="79"/>
        <v>0.81066666666666687</v>
      </c>
      <c r="D1118">
        <f t="shared" si="78"/>
        <v>1.1106666666666669</v>
      </c>
      <c r="E1118" s="3">
        <v>4.9000000000000004</v>
      </c>
      <c r="F1118">
        <f t="shared" si="76"/>
        <v>0.81066666666666687</v>
      </c>
      <c r="G1118">
        <f t="shared" si="77"/>
        <v>2.0786324786324792E-2</v>
      </c>
    </row>
    <row r="1119" spans="1:7">
      <c r="A1119" s="1">
        <v>20150611</v>
      </c>
      <c r="B1119" s="1">
        <v>39</v>
      </c>
      <c r="C1119" s="2">
        <f t="shared" si="79"/>
        <v>0.81066666666666687</v>
      </c>
      <c r="D1119">
        <f t="shared" si="78"/>
        <v>1.1106666666666669</v>
      </c>
      <c r="E1119" s="3">
        <v>4.9000000000000004</v>
      </c>
      <c r="F1119">
        <f t="shared" si="76"/>
        <v>0.81066666666666687</v>
      </c>
      <c r="G1119">
        <f t="shared" si="77"/>
        <v>2.0786324786324792E-2</v>
      </c>
    </row>
    <row r="1120" spans="1:7">
      <c r="A1120" s="1">
        <v>20150611</v>
      </c>
      <c r="B1120" s="1">
        <v>41</v>
      </c>
      <c r="C1120" s="2">
        <f t="shared" si="79"/>
        <v>0.81066666666666687</v>
      </c>
      <c r="D1120">
        <f t="shared" si="78"/>
        <v>1.1106666666666669</v>
      </c>
      <c r="E1120" s="3">
        <v>4.9000000000000004</v>
      </c>
      <c r="F1120">
        <f t="shared" si="76"/>
        <v>0.81066666666666687</v>
      </c>
      <c r="G1120">
        <f t="shared" si="77"/>
        <v>1.9772357723577241E-2</v>
      </c>
    </row>
    <row r="1121" spans="1:7">
      <c r="A1121" s="1">
        <v>20150611</v>
      </c>
      <c r="B1121" s="1">
        <v>40</v>
      </c>
      <c r="C1121" s="2">
        <f t="shared" si="79"/>
        <v>0.81066666666666687</v>
      </c>
      <c r="D1121">
        <f t="shared" si="78"/>
        <v>1.1106666666666669</v>
      </c>
      <c r="E1121" s="3">
        <v>4.9000000000000004</v>
      </c>
      <c r="F1121">
        <f t="shared" si="76"/>
        <v>0.81066666666666687</v>
      </c>
      <c r="G1121">
        <f t="shared" si="77"/>
        <v>2.0266666666666672E-2</v>
      </c>
    </row>
    <row r="1122" spans="1:7">
      <c r="A1122" s="1">
        <v>20150611</v>
      </c>
      <c r="B1122" s="1">
        <v>57</v>
      </c>
      <c r="C1122" s="2">
        <f t="shared" si="79"/>
        <v>0.4253333333333334</v>
      </c>
      <c r="D1122">
        <f t="shared" si="78"/>
        <v>0.72533333333333339</v>
      </c>
      <c r="E1122" s="3">
        <v>3.2</v>
      </c>
      <c r="F1122">
        <f t="shared" si="76"/>
        <v>0.4253333333333334</v>
      </c>
      <c r="G1122">
        <f t="shared" si="77"/>
        <v>7.4619883040935682E-3</v>
      </c>
    </row>
    <row r="1123" spans="1:7">
      <c r="A1123" s="1">
        <v>20150611</v>
      </c>
      <c r="B1123" s="1">
        <v>54</v>
      </c>
      <c r="C1123" s="2">
        <f t="shared" si="79"/>
        <v>0.4253333333333334</v>
      </c>
      <c r="D1123">
        <f t="shared" si="78"/>
        <v>0.72533333333333339</v>
      </c>
      <c r="E1123" s="3">
        <v>3.2</v>
      </c>
      <c r="F1123">
        <f t="shared" si="76"/>
        <v>0.4253333333333334</v>
      </c>
      <c r="G1123">
        <f t="shared" si="77"/>
        <v>7.8765432098765447E-3</v>
      </c>
    </row>
    <row r="1124" spans="1:7">
      <c r="A1124" s="1">
        <v>20150611</v>
      </c>
      <c r="B1124" s="1">
        <v>49</v>
      </c>
      <c r="C1124" s="2">
        <f t="shared" si="79"/>
        <v>0.4253333333333334</v>
      </c>
      <c r="D1124">
        <f t="shared" si="78"/>
        <v>0.72533333333333339</v>
      </c>
      <c r="E1124" s="3">
        <v>3.2</v>
      </c>
      <c r="F1124">
        <f t="shared" si="76"/>
        <v>0.4253333333333334</v>
      </c>
      <c r="G1124">
        <f t="shared" si="77"/>
        <v>8.6802721088435394E-3</v>
      </c>
    </row>
    <row r="1125" spans="1:7">
      <c r="A1125" s="1">
        <v>20150611</v>
      </c>
      <c r="B1125" s="1">
        <v>56</v>
      </c>
      <c r="C1125" s="2">
        <f t="shared" si="79"/>
        <v>0.4253333333333334</v>
      </c>
      <c r="D1125">
        <f t="shared" si="78"/>
        <v>0.72533333333333339</v>
      </c>
      <c r="E1125" s="3">
        <v>3.2</v>
      </c>
      <c r="F1125">
        <f t="shared" si="76"/>
        <v>0.4253333333333334</v>
      </c>
      <c r="G1125">
        <f t="shared" si="77"/>
        <v>7.5952380952380967E-3</v>
      </c>
    </row>
    <row r="1126" spans="1:7">
      <c r="A1126" s="1">
        <v>20150611</v>
      </c>
      <c r="B1126" s="1">
        <v>50</v>
      </c>
      <c r="C1126" s="2">
        <f t="shared" si="79"/>
        <v>0.4253333333333334</v>
      </c>
      <c r="D1126">
        <f t="shared" si="78"/>
        <v>0.72533333333333339</v>
      </c>
      <c r="E1126" s="3">
        <v>3.2</v>
      </c>
      <c r="F1126">
        <f t="shared" si="76"/>
        <v>0.4253333333333334</v>
      </c>
      <c r="G1126">
        <f t="shared" si="77"/>
        <v>8.5066666666666676E-3</v>
      </c>
    </row>
    <row r="1127" spans="1:7">
      <c r="A1127" s="1">
        <v>20150611</v>
      </c>
      <c r="B1127" s="1">
        <v>11</v>
      </c>
      <c r="C1127" s="2">
        <f t="shared" si="79"/>
        <v>1.2186666666666668</v>
      </c>
      <c r="D1127">
        <f t="shared" si="78"/>
        <v>1.5186666666666668</v>
      </c>
      <c r="E1127" s="3">
        <v>6.7</v>
      </c>
      <c r="F1127">
        <f t="shared" si="76"/>
        <v>1.2186666666666668</v>
      </c>
      <c r="G1127">
        <f t="shared" si="77"/>
        <v>0.1107878787878788</v>
      </c>
    </row>
    <row r="1128" spans="1:7">
      <c r="A1128" s="1">
        <v>20150611</v>
      </c>
      <c r="B1128" s="1">
        <v>7</v>
      </c>
      <c r="C1128" s="2">
        <f t="shared" si="79"/>
        <v>1.2186666666666668</v>
      </c>
      <c r="D1128">
        <f t="shared" si="78"/>
        <v>1.5186666666666668</v>
      </c>
      <c r="E1128" s="3">
        <v>6.7</v>
      </c>
      <c r="F1128">
        <f t="shared" si="76"/>
        <v>1.2186666666666668</v>
      </c>
      <c r="G1128">
        <f t="shared" si="77"/>
        <v>0.17409523809523811</v>
      </c>
    </row>
    <row r="1129" spans="1:7">
      <c r="A1129" s="1">
        <v>20150611</v>
      </c>
      <c r="B1129" s="1">
        <v>2</v>
      </c>
      <c r="C1129" s="2">
        <f t="shared" si="79"/>
        <v>1.2186666666666668</v>
      </c>
      <c r="D1129">
        <f t="shared" si="78"/>
        <v>1.5186666666666668</v>
      </c>
      <c r="E1129" s="3">
        <v>6.7</v>
      </c>
      <c r="F1129">
        <f t="shared" ref="F1129:F1192" si="80">C1129</f>
        <v>1.2186666666666668</v>
      </c>
      <c r="G1129">
        <f t="shared" ref="G1129:G1192" si="81">F1129/B1129</f>
        <v>0.60933333333333339</v>
      </c>
    </row>
    <row r="1130" spans="1:7">
      <c r="A1130" s="1">
        <v>20150611</v>
      </c>
      <c r="B1130" s="1">
        <v>7</v>
      </c>
      <c r="C1130" s="2">
        <f t="shared" si="79"/>
        <v>1.2186666666666668</v>
      </c>
      <c r="D1130">
        <f t="shared" si="78"/>
        <v>1.5186666666666668</v>
      </c>
      <c r="E1130" s="3">
        <v>6.7</v>
      </c>
      <c r="F1130">
        <f t="shared" si="80"/>
        <v>1.2186666666666668</v>
      </c>
      <c r="G1130">
        <f t="shared" si="81"/>
        <v>0.17409523809523811</v>
      </c>
    </row>
    <row r="1131" spans="1:7">
      <c r="A1131" s="1">
        <v>20150611</v>
      </c>
      <c r="B1131" s="1">
        <v>6</v>
      </c>
      <c r="C1131" s="2">
        <f t="shared" si="79"/>
        <v>1.2186666666666668</v>
      </c>
      <c r="D1131">
        <f t="shared" si="78"/>
        <v>1.5186666666666668</v>
      </c>
      <c r="E1131" s="3">
        <v>6.7</v>
      </c>
      <c r="F1131">
        <f t="shared" si="80"/>
        <v>1.2186666666666668</v>
      </c>
      <c r="G1131">
        <f t="shared" si="81"/>
        <v>0.20311111111111113</v>
      </c>
    </row>
    <row r="1132" spans="1:7">
      <c r="A1132" s="1">
        <v>20150611</v>
      </c>
      <c r="B1132" s="1">
        <v>60</v>
      </c>
      <c r="C1132" s="2">
        <f t="shared" si="79"/>
        <v>1.4453333333333334</v>
      </c>
      <c r="D1132">
        <f t="shared" si="78"/>
        <v>1.7453333333333334</v>
      </c>
      <c r="E1132" s="3">
        <v>7.7</v>
      </c>
      <c r="F1132">
        <f t="shared" si="80"/>
        <v>1.4453333333333334</v>
      </c>
      <c r="G1132">
        <f t="shared" si="81"/>
        <v>2.4088888888888889E-2</v>
      </c>
    </row>
    <row r="1133" spans="1:7">
      <c r="A1133" s="1">
        <v>20150611</v>
      </c>
      <c r="B1133" s="1">
        <v>74</v>
      </c>
      <c r="C1133" s="2">
        <f t="shared" si="79"/>
        <v>1.4453333333333334</v>
      </c>
      <c r="D1133">
        <f t="shared" si="78"/>
        <v>1.7453333333333334</v>
      </c>
      <c r="E1133" s="3">
        <v>7.7</v>
      </c>
      <c r="F1133">
        <f t="shared" si="80"/>
        <v>1.4453333333333334</v>
      </c>
      <c r="G1133">
        <f t="shared" si="81"/>
        <v>1.9531531531531532E-2</v>
      </c>
    </row>
    <row r="1134" spans="1:7">
      <c r="A1134" s="1">
        <v>20150611</v>
      </c>
      <c r="B1134" s="1">
        <v>43</v>
      </c>
      <c r="C1134" s="2">
        <f t="shared" si="79"/>
        <v>1.4453333333333334</v>
      </c>
      <c r="D1134">
        <f t="shared" si="78"/>
        <v>1.7453333333333334</v>
      </c>
      <c r="E1134" s="3">
        <v>7.7</v>
      </c>
      <c r="F1134">
        <f t="shared" si="80"/>
        <v>1.4453333333333334</v>
      </c>
      <c r="G1134">
        <f t="shared" si="81"/>
        <v>3.3612403100775193E-2</v>
      </c>
    </row>
    <row r="1135" spans="1:7">
      <c r="A1135" s="1">
        <v>20150611</v>
      </c>
      <c r="B1135" s="1">
        <v>29</v>
      </c>
      <c r="C1135" s="2">
        <f t="shared" si="79"/>
        <v>1.4453333333333334</v>
      </c>
      <c r="D1135">
        <f t="shared" si="78"/>
        <v>1.7453333333333334</v>
      </c>
      <c r="E1135" s="3">
        <v>7.7</v>
      </c>
      <c r="F1135">
        <f t="shared" si="80"/>
        <v>1.4453333333333334</v>
      </c>
      <c r="G1135">
        <f t="shared" si="81"/>
        <v>4.9839080459770119E-2</v>
      </c>
    </row>
    <row r="1136" spans="1:7">
      <c r="A1136" s="1">
        <v>20150611</v>
      </c>
      <c r="B1136" s="1">
        <v>38</v>
      </c>
      <c r="C1136" s="2">
        <f t="shared" si="79"/>
        <v>1.4453333333333334</v>
      </c>
      <c r="D1136">
        <f t="shared" si="78"/>
        <v>1.7453333333333334</v>
      </c>
      <c r="E1136" s="3">
        <v>7.7</v>
      </c>
      <c r="F1136">
        <f t="shared" si="80"/>
        <v>1.4453333333333334</v>
      </c>
      <c r="G1136">
        <f t="shared" si="81"/>
        <v>3.8035087719298248E-2</v>
      </c>
    </row>
    <row r="1137" spans="1:7">
      <c r="A1137" s="1">
        <v>20150611</v>
      </c>
      <c r="B1137" s="1">
        <v>9</v>
      </c>
      <c r="C1137" s="2">
        <f t="shared" si="79"/>
        <v>1.7173333333333336</v>
      </c>
      <c r="D1137">
        <f t="shared" si="78"/>
        <v>2.0173333333333336</v>
      </c>
      <c r="E1137" s="3">
        <v>8.9</v>
      </c>
      <c r="F1137">
        <f t="shared" si="80"/>
        <v>1.7173333333333336</v>
      </c>
      <c r="G1137">
        <f t="shared" si="81"/>
        <v>0.19081481481481485</v>
      </c>
    </row>
    <row r="1138" spans="1:7">
      <c r="A1138" s="1">
        <v>20150611</v>
      </c>
      <c r="B1138" s="1">
        <v>50</v>
      </c>
      <c r="C1138" s="2">
        <f t="shared" si="79"/>
        <v>1.7173333333333336</v>
      </c>
      <c r="D1138">
        <f t="shared" ref="D1138:D1201" si="82">0.17*($H$3/12)*E1138</f>
        <v>2.0173333333333336</v>
      </c>
      <c r="E1138" s="3">
        <v>8.9</v>
      </c>
      <c r="F1138">
        <f t="shared" si="80"/>
        <v>1.7173333333333336</v>
      </c>
      <c r="G1138">
        <f t="shared" si="81"/>
        <v>3.4346666666666671E-2</v>
      </c>
    </row>
    <row r="1139" spans="1:7">
      <c r="A1139" s="1">
        <v>20150611</v>
      </c>
      <c r="B1139" s="1">
        <v>36</v>
      </c>
      <c r="C1139" s="2">
        <f t="shared" si="79"/>
        <v>1.7173333333333336</v>
      </c>
      <c r="D1139">
        <f t="shared" si="82"/>
        <v>2.0173333333333336</v>
      </c>
      <c r="E1139" s="3">
        <v>8.9</v>
      </c>
      <c r="F1139">
        <f t="shared" si="80"/>
        <v>1.7173333333333336</v>
      </c>
      <c r="G1139">
        <f t="shared" si="81"/>
        <v>4.7703703703703713E-2</v>
      </c>
    </row>
    <row r="1140" spans="1:7">
      <c r="A1140" s="1">
        <v>20150611</v>
      </c>
      <c r="B1140" s="1">
        <v>51</v>
      </c>
      <c r="C1140" s="2">
        <f t="shared" ref="C1140:C1203" si="83">D1140-$S$46</f>
        <v>1.7173333333333336</v>
      </c>
      <c r="D1140">
        <f t="shared" si="82"/>
        <v>2.0173333333333336</v>
      </c>
      <c r="E1140" s="3">
        <v>8.9</v>
      </c>
      <c r="F1140">
        <f t="shared" si="80"/>
        <v>1.7173333333333336</v>
      </c>
      <c r="G1140">
        <f t="shared" si="81"/>
        <v>3.3673202614379089E-2</v>
      </c>
    </row>
    <row r="1141" spans="1:7">
      <c r="A1141" s="1">
        <v>20150611</v>
      </c>
      <c r="B1141" s="1">
        <v>35</v>
      </c>
      <c r="C1141" s="2">
        <f t="shared" si="83"/>
        <v>1.7173333333333336</v>
      </c>
      <c r="D1141">
        <f t="shared" si="82"/>
        <v>2.0173333333333336</v>
      </c>
      <c r="E1141" s="3">
        <v>8.9</v>
      </c>
      <c r="F1141">
        <f t="shared" si="80"/>
        <v>1.7173333333333336</v>
      </c>
      <c r="G1141">
        <f t="shared" si="81"/>
        <v>4.9066666666666675E-2</v>
      </c>
    </row>
    <row r="1142" spans="1:7">
      <c r="A1142" s="1">
        <v>20150611</v>
      </c>
      <c r="B1142" s="1">
        <v>16</v>
      </c>
      <c r="C1142" s="2">
        <f t="shared" si="83"/>
        <v>2.238666666666667</v>
      </c>
      <c r="D1142">
        <f t="shared" si="82"/>
        <v>2.5386666666666668</v>
      </c>
      <c r="E1142" s="3">
        <v>11.2</v>
      </c>
      <c r="F1142">
        <f t="shared" si="80"/>
        <v>2.238666666666667</v>
      </c>
      <c r="G1142">
        <f t="shared" si="81"/>
        <v>0.13991666666666669</v>
      </c>
    </row>
    <row r="1143" spans="1:7">
      <c r="A1143" s="1">
        <v>20150611</v>
      </c>
      <c r="B1143" s="1">
        <v>17</v>
      </c>
      <c r="C1143" s="2">
        <f t="shared" si="83"/>
        <v>2.238666666666667</v>
      </c>
      <c r="D1143">
        <f t="shared" si="82"/>
        <v>2.5386666666666668</v>
      </c>
      <c r="E1143" s="3">
        <v>11.2</v>
      </c>
      <c r="F1143">
        <f t="shared" si="80"/>
        <v>2.238666666666667</v>
      </c>
      <c r="G1143">
        <f t="shared" si="81"/>
        <v>0.13168627450980394</v>
      </c>
    </row>
    <row r="1144" spans="1:7">
      <c r="A1144" s="1">
        <v>20150611</v>
      </c>
      <c r="B1144" s="1">
        <v>13</v>
      </c>
      <c r="C1144" s="2">
        <f t="shared" si="83"/>
        <v>2.238666666666667</v>
      </c>
      <c r="D1144">
        <f t="shared" si="82"/>
        <v>2.5386666666666668</v>
      </c>
      <c r="E1144" s="3">
        <v>11.2</v>
      </c>
      <c r="F1144">
        <f t="shared" si="80"/>
        <v>2.238666666666667</v>
      </c>
      <c r="G1144">
        <f t="shared" si="81"/>
        <v>0.17220512820512823</v>
      </c>
    </row>
    <row r="1145" spans="1:7">
      <c r="A1145" s="1">
        <v>20150611</v>
      </c>
      <c r="B1145" s="1">
        <v>12</v>
      </c>
      <c r="C1145" s="2">
        <f t="shared" si="83"/>
        <v>2.238666666666667</v>
      </c>
      <c r="D1145">
        <f t="shared" si="82"/>
        <v>2.5386666666666668</v>
      </c>
      <c r="E1145" s="3">
        <v>11.2</v>
      </c>
      <c r="F1145">
        <f t="shared" si="80"/>
        <v>2.238666666666667</v>
      </c>
      <c r="G1145">
        <f t="shared" si="81"/>
        <v>0.18655555555555559</v>
      </c>
    </row>
    <row r="1146" spans="1:7">
      <c r="A1146" s="1">
        <v>20150611</v>
      </c>
      <c r="B1146" s="1">
        <v>14</v>
      </c>
      <c r="C1146" s="2">
        <f t="shared" si="83"/>
        <v>2.238666666666667</v>
      </c>
      <c r="D1146">
        <f t="shared" si="82"/>
        <v>2.5386666666666668</v>
      </c>
      <c r="E1146" s="3">
        <v>11.2</v>
      </c>
      <c r="F1146">
        <f t="shared" si="80"/>
        <v>2.238666666666667</v>
      </c>
      <c r="G1146">
        <f t="shared" si="81"/>
        <v>0.15990476190476194</v>
      </c>
    </row>
    <row r="1147" spans="1:7">
      <c r="A1147" s="1">
        <v>20150611</v>
      </c>
      <c r="B1147" s="1">
        <v>9</v>
      </c>
      <c r="C1147" s="2">
        <f t="shared" si="83"/>
        <v>0.87866666666666671</v>
      </c>
      <c r="D1147">
        <f t="shared" si="82"/>
        <v>1.1786666666666668</v>
      </c>
      <c r="E1147" s="3">
        <v>5.2</v>
      </c>
      <c r="F1147">
        <f t="shared" si="80"/>
        <v>0.87866666666666671</v>
      </c>
      <c r="G1147">
        <f t="shared" si="81"/>
        <v>9.7629629629629636E-2</v>
      </c>
    </row>
    <row r="1148" spans="1:7">
      <c r="A1148" s="1">
        <v>20150611</v>
      </c>
      <c r="B1148" s="1">
        <v>20</v>
      </c>
      <c r="C1148" s="2">
        <f t="shared" si="83"/>
        <v>0.87866666666666671</v>
      </c>
      <c r="D1148">
        <f t="shared" si="82"/>
        <v>1.1786666666666668</v>
      </c>
      <c r="E1148" s="3">
        <v>5.2</v>
      </c>
      <c r="F1148">
        <f t="shared" si="80"/>
        <v>0.87866666666666671</v>
      </c>
      <c r="G1148">
        <f t="shared" si="81"/>
        <v>4.3933333333333338E-2</v>
      </c>
    </row>
    <row r="1149" spans="1:7">
      <c r="A1149" s="1">
        <v>20150611</v>
      </c>
      <c r="B1149" s="1">
        <v>9</v>
      </c>
      <c r="C1149" s="2">
        <f t="shared" si="83"/>
        <v>0.87866666666666671</v>
      </c>
      <c r="D1149">
        <f t="shared" si="82"/>
        <v>1.1786666666666668</v>
      </c>
      <c r="E1149" s="3">
        <v>5.2</v>
      </c>
      <c r="F1149">
        <f t="shared" si="80"/>
        <v>0.87866666666666671</v>
      </c>
      <c r="G1149">
        <f t="shared" si="81"/>
        <v>9.7629629629629636E-2</v>
      </c>
    </row>
    <row r="1150" spans="1:7">
      <c r="A1150" s="1">
        <v>20150611</v>
      </c>
      <c r="B1150" s="1">
        <v>23</v>
      </c>
      <c r="C1150" s="2">
        <f t="shared" si="83"/>
        <v>0.87866666666666671</v>
      </c>
      <c r="D1150">
        <f t="shared" si="82"/>
        <v>1.1786666666666668</v>
      </c>
      <c r="E1150" s="3">
        <v>5.2</v>
      </c>
      <c r="F1150">
        <f t="shared" si="80"/>
        <v>0.87866666666666671</v>
      </c>
      <c r="G1150">
        <f t="shared" si="81"/>
        <v>3.8202898550724639E-2</v>
      </c>
    </row>
    <row r="1151" spans="1:7">
      <c r="A1151" s="1">
        <v>20150611</v>
      </c>
      <c r="B1151" s="1">
        <v>10</v>
      </c>
      <c r="C1151" s="2">
        <f t="shared" si="83"/>
        <v>0.87866666666666671</v>
      </c>
      <c r="D1151">
        <f t="shared" si="82"/>
        <v>1.1786666666666668</v>
      </c>
      <c r="E1151" s="3">
        <v>5.2</v>
      </c>
      <c r="F1151">
        <f t="shared" si="80"/>
        <v>0.87866666666666671</v>
      </c>
      <c r="G1151">
        <f t="shared" si="81"/>
        <v>8.7866666666666676E-2</v>
      </c>
    </row>
    <row r="1152" spans="1:7">
      <c r="A1152" s="1">
        <v>20150611</v>
      </c>
      <c r="B1152" s="1">
        <v>13</v>
      </c>
      <c r="C1152" s="2">
        <f t="shared" si="83"/>
        <v>0.96933333333333338</v>
      </c>
      <c r="D1152">
        <f t="shared" si="82"/>
        <v>1.2693333333333334</v>
      </c>
      <c r="E1152" s="3">
        <v>5.6</v>
      </c>
      <c r="F1152">
        <f t="shared" si="80"/>
        <v>0.96933333333333338</v>
      </c>
      <c r="G1152">
        <f t="shared" si="81"/>
        <v>7.4564102564102563E-2</v>
      </c>
    </row>
    <row r="1153" spans="1:7">
      <c r="A1153" s="1">
        <v>20150611</v>
      </c>
      <c r="B1153" s="1">
        <v>26</v>
      </c>
      <c r="C1153" s="2">
        <f t="shared" si="83"/>
        <v>0.96933333333333338</v>
      </c>
      <c r="D1153">
        <f t="shared" si="82"/>
        <v>1.2693333333333334</v>
      </c>
      <c r="E1153" s="3">
        <v>5.6</v>
      </c>
      <c r="F1153">
        <f t="shared" si="80"/>
        <v>0.96933333333333338</v>
      </c>
      <c r="G1153">
        <f t="shared" si="81"/>
        <v>3.7282051282051282E-2</v>
      </c>
    </row>
    <row r="1154" spans="1:7">
      <c r="A1154" s="1">
        <v>20150611</v>
      </c>
      <c r="B1154" s="1">
        <v>14</v>
      </c>
      <c r="C1154" s="2">
        <f t="shared" si="83"/>
        <v>0.96933333333333338</v>
      </c>
      <c r="D1154">
        <f t="shared" si="82"/>
        <v>1.2693333333333334</v>
      </c>
      <c r="E1154" s="3">
        <v>5.6</v>
      </c>
      <c r="F1154">
        <f t="shared" si="80"/>
        <v>0.96933333333333338</v>
      </c>
      <c r="G1154">
        <f t="shared" si="81"/>
        <v>6.9238095238095237E-2</v>
      </c>
    </row>
    <row r="1155" spans="1:7">
      <c r="A1155" s="1">
        <v>20150611</v>
      </c>
      <c r="B1155" s="1">
        <v>15</v>
      </c>
      <c r="C1155" s="2">
        <f t="shared" si="83"/>
        <v>0.96933333333333338</v>
      </c>
      <c r="D1155">
        <f t="shared" si="82"/>
        <v>1.2693333333333334</v>
      </c>
      <c r="E1155" s="3">
        <v>5.6</v>
      </c>
      <c r="F1155">
        <f t="shared" si="80"/>
        <v>0.96933333333333338</v>
      </c>
      <c r="G1155">
        <f t="shared" si="81"/>
        <v>6.462222222222222E-2</v>
      </c>
    </row>
    <row r="1156" spans="1:7">
      <c r="A1156" s="1">
        <v>20150611</v>
      </c>
      <c r="B1156" s="1">
        <v>10</v>
      </c>
      <c r="C1156" s="2">
        <f t="shared" si="83"/>
        <v>0.96933333333333338</v>
      </c>
      <c r="D1156">
        <f t="shared" si="82"/>
        <v>1.2693333333333334</v>
      </c>
      <c r="E1156" s="3">
        <v>5.6</v>
      </c>
      <c r="F1156">
        <f t="shared" si="80"/>
        <v>0.96933333333333338</v>
      </c>
      <c r="G1156">
        <f t="shared" si="81"/>
        <v>9.6933333333333344E-2</v>
      </c>
    </row>
    <row r="1157" spans="1:7">
      <c r="A1157" s="1">
        <v>20150611</v>
      </c>
      <c r="B1157" s="1">
        <v>12</v>
      </c>
      <c r="C1157" s="2">
        <f t="shared" si="83"/>
        <v>1.2186666666666668</v>
      </c>
      <c r="D1157">
        <f t="shared" si="82"/>
        <v>1.5186666666666668</v>
      </c>
      <c r="E1157" s="3">
        <v>6.7</v>
      </c>
      <c r="F1157">
        <f t="shared" si="80"/>
        <v>1.2186666666666668</v>
      </c>
      <c r="G1157">
        <f t="shared" si="81"/>
        <v>0.10155555555555557</v>
      </c>
    </row>
    <row r="1158" spans="1:7">
      <c r="A1158" s="1">
        <v>20150611</v>
      </c>
      <c r="B1158" s="1">
        <v>5</v>
      </c>
      <c r="C1158" s="2">
        <f t="shared" si="83"/>
        <v>1.2186666666666668</v>
      </c>
      <c r="D1158">
        <f t="shared" si="82"/>
        <v>1.5186666666666668</v>
      </c>
      <c r="E1158" s="3">
        <v>6.7</v>
      </c>
      <c r="F1158">
        <f t="shared" si="80"/>
        <v>1.2186666666666668</v>
      </c>
      <c r="G1158">
        <f t="shared" si="81"/>
        <v>0.24373333333333336</v>
      </c>
    </row>
    <row r="1159" spans="1:7">
      <c r="A1159" s="1">
        <v>20150611</v>
      </c>
      <c r="B1159" s="1">
        <v>8</v>
      </c>
      <c r="C1159" s="2">
        <f t="shared" si="83"/>
        <v>1.2186666666666668</v>
      </c>
      <c r="D1159">
        <f t="shared" si="82"/>
        <v>1.5186666666666668</v>
      </c>
      <c r="E1159" s="3">
        <v>6.7</v>
      </c>
      <c r="F1159">
        <f t="shared" si="80"/>
        <v>1.2186666666666668</v>
      </c>
      <c r="G1159">
        <f t="shared" si="81"/>
        <v>0.15233333333333335</v>
      </c>
    </row>
    <row r="1160" spans="1:7">
      <c r="A1160" s="1">
        <v>20150611</v>
      </c>
      <c r="B1160" s="1">
        <v>15</v>
      </c>
      <c r="C1160" s="2">
        <f t="shared" si="83"/>
        <v>1.2186666666666668</v>
      </c>
      <c r="D1160">
        <f t="shared" si="82"/>
        <v>1.5186666666666668</v>
      </c>
      <c r="E1160" s="3">
        <v>6.7</v>
      </c>
      <c r="F1160">
        <f t="shared" si="80"/>
        <v>1.2186666666666668</v>
      </c>
      <c r="G1160">
        <f t="shared" si="81"/>
        <v>8.1244444444444452E-2</v>
      </c>
    </row>
    <row r="1161" spans="1:7">
      <c r="A1161" s="1">
        <v>20150611</v>
      </c>
      <c r="B1161" s="1">
        <v>21</v>
      </c>
      <c r="C1161" s="2">
        <f t="shared" si="83"/>
        <v>1.2186666666666668</v>
      </c>
      <c r="D1161">
        <f t="shared" si="82"/>
        <v>1.5186666666666668</v>
      </c>
      <c r="E1161" s="3">
        <v>6.7</v>
      </c>
      <c r="F1161">
        <f t="shared" si="80"/>
        <v>1.2186666666666668</v>
      </c>
      <c r="G1161">
        <f t="shared" si="81"/>
        <v>5.8031746031746038E-2</v>
      </c>
    </row>
    <row r="1162" spans="1:7">
      <c r="A1162" s="1">
        <v>20150611</v>
      </c>
      <c r="B1162" s="1">
        <v>30</v>
      </c>
      <c r="C1162" s="2">
        <f t="shared" si="83"/>
        <v>1.4453333333333334</v>
      </c>
      <c r="D1162">
        <f t="shared" si="82"/>
        <v>1.7453333333333334</v>
      </c>
      <c r="E1162" s="3">
        <v>7.7</v>
      </c>
      <c r="F1162">
        <f t="shared" si="80"/>
        <v>1.4453333333333334</v>
      </c>
      <c r="G1162">
        <f t="shared" si="81"/>
        <v>4.8177777777777778E-2</v>
      </c>
    </row>
    <row r="1163" spans="1:7">
      <c r="A1163" s="1">
        <v>20150611</v>
      </c>
      <c r="B1163" s="1">
        <v>51</v>
      </c>
      <c r="C1163" s="2">
        <f t="shared" si="83"/>
        <v>1.4453333333333334</v>
      </c>
      <c r="D1163">
        <f t="shared" si="82"/>
        <v>1.7453333333333334</v>
      </c>
      <c r="E1163" s="3">
        <v>7.7</v>
      </c>
      <c r="F1163">
        <f t="shared" si="80"/>
        <v>1.4453333333333334</v>
      </c>
      <c r="G1163">
        <f t="shared" si="81"/>
        <v>2.8339869281045753E-2</v>
      </c>
    </row>
    <row r="1164" spans="1:7">
      <c r="A1164" s="1">
        <v>20150611</v>
      </c>
      <c r="B1164" s="1">
        <v>65</v>
      </c>
      <c r="C1164" s="2">
        <f t="shared" si="83"/>
        <v>1.4453333333333334</v>
      </c>
      <c r="D1164">
        <f t="shared" si="82"/>
        <v>1.7453333333333334</v>
      </c>
      <c r="E1164" s="3">
        <v>7.7</v>
      </c>
      <c r="F1164">
        <f t="shared" si="80"/>
        <v>1.4453333333333334</v>
      </c>
      <c r="G1164">
        <f t="shared" si="81"/>
        <v>2.2235897435897437E-2</v>
      </c>
    </row>
    <row r="1165" spans="1:7">
      <c r="A1165" s="1">
        <v>20150611</v>
      </c>
      <c r="B1165" s="1">
        <v>20</v>
      </c>
      <c r="C1165" s="2">
        <f t="shared" si="83"/>
        <v>1.4453333333333334</v>
      </c>
      <c r="D1165">
        <f t="shared" si="82"/>
        <v>1.7453333333333334</v>
      </c>
      <c r="E1165" s="3">
        <v>7.7</v>
      </c>
      <c r="F1165">
        <f t="shared" si="80"/>
        <v>1.4453333333333334</v>
      </c>
      <c r="G1165">
        <f t="shared" si="81"/>
        <v>7.2266666666666673E-2</v>
      </c>
    </row>
    <row r="1166" spans="1:7">
      <c r="A1166" s="1">
        <v>20150611</v>
      </c>
      <c r="B1166" s="1">
        <v>41</v>
      </c>
      <c r="C1166" s="2">
        <f t="shared" si="83"/>
        <v>1.4453333333333334</v>
      </c>
      <c r="D1166">
        <f t="shared" si="82"/>
        <v>1.7453333333333334</v>
      </c>
      <c r="E1166" s="3">
        <v>7.7</v>
      </c>
      <c r="F1166">
        <f t="shared" si="80"/>
        <v>1.4453333333333334</v>
      </c>
      <c r="G1166">
        <f t="shared" si="81"/>
        <v>3.5252032520325202E-2</v>
      </c>
    </row>
    <row r="1167" spans="1:7">
      <c r="A1167" s="1">
        <v>20150611</v>
      </c>
      <c r="B1167" s="1">
        <v>26</v>
      </c>
      <c r="C1167" s="2">
        <f t="shared" si="83"/>
        <v>1.7173333333333336</v>
      </c>
      <c r="D1167">
        <f t="shared" si="82"/>
        <v>2.0173333333333336</v>
      </c>
      <c r="E1167" s="3">
        <v>8.9</v>
      </c>
      <c r="F1167">
        <f t="shared" si="80"/>
        <v>1.7173333333333336</v>
      </c>
      <c r="G1167">
        <f t="shared" si="81"/>
        <v>6.6051282051282065E-2</v>
      </c>
    </row>
    <row r="1168" spans="1:7">
      <c r="A1168" s="1">
        <v>20150611</v>
      </c>
      <c r="B1168" s="1">
        <v>11</v>
      </c>
      <c r="C1168" s="2">
        <f t="shared" si="83"/>
        <v>1.7173333333333336</v>
      </c>
      <c r="D1168">
        <f t="shared" si="82"/>
        <v>2.0173333333333336</v>
      </c>
      <c r="E1168" s="3">
        <v>8.9</v>
      </c>
      <c r="F1168">
        <f t="shared" si="80"/>
        <v>1.7173333333333336</v>
      </c>
      <c r="G1168">
        <f t="shared" si="81"/>
        <v>0.15612121212121213</v>
      </c>
    </row>
    <row r="1169" spans="1:7">
      <c r="A1169" s="1">
        <v>20150611</v>
      </c>
      <c r="B1169" s="1">
        <v>39</v>
      </c>
      <c r="C1169" s="2">
        <f t="shared" si="83"/>
        <v>1.7173333333333336</v>
      </c>
      <c r="D1169">
        <f t="shared" si="82"/>
        <v>2.0173333333333336</v>
      </c>
      <c r="E1169" s="3">
        <v>8.9</v>
      </c>
      <c r="F1169">
        <f t="shared" si="80"/>
        <v>1.7173333333333336</v>
      </c>
      <c r="G1169">
        <f t="shared" si="81"/>
        <v>4.4034188034188043E-2</v>
      </c>
    </row>
    <row r="1170" spans="1:7">
      <c r="A1170" s="1">
        <v>20150611</v>
      </c>
      <c r="B1170" s="1">
        <v>30</v>
      </c>
      <c r="C1170" s="2">
        <f t="shared" si="83"/>
        <v>1.7173333333333336</v>
      </c>
      <c r="D1170">
        <f t="shared" si="82"/>
        <v>2.0173333333333336</v>
      </c>
      <c r="E1170" s="3">
        <v>8.9</v>
      </c>
      <c r="F1170">
        <f t="shared" si="80"/>
        <v>1.7173333333333336</v>
      </c>
      <c r="G1170">
        <f t="shared" si="81"/>
        <v>5.7244444444444452E-2</v>
      </c>
    </row>
    <row r="1171" spans="1:7">
      <c r="A1171" s="1">
        <v>20150611</v>
      </c>
      <c r="B1171" s="1">
        <v>12</v>
      </c>
      <c r="C1171" s="2">
        <f t="shared" si="83"/>
        <v>1.7173333333333336</v>
      </c>
      <c r="D1171">
        <f t="shared" si="82"/>
        <v>2.0173333333333336</v>
      </c>
      <c r="E1171" s="3">
        <v>8.9</v>
      </c>
      <c r="F1171">
        <f t="shared" si="80"/>
        <v>1.7173333333333336</v>
      </c>
      <c r="G1171">
        <f t="shared" si="81"/>
        <v>0.14311111111111113</v>
      </c>
    </row>
    <row r="1172" spans="1:7">
      <c r="A1172" s="1">
        <v>20150611</v>
      </c>
      <c r="B1172" s="1">
        <v>16</v>
      </c>
      <c r="C1172" s="2">
        <f t="shared" si="83"/>
        <v>2.238666666666667</v>
      </c>
      <c r="D1172">
        <f t="shared" si="82"/>
        <v>2.5386666666666668</v>
      </c>
      <c r="E1172" s="3">
        <v>11.2</v>
      </c>
      <c r="F1172">
        <f t="shared" si="80"/>
        <v>2.238666666666667</v>
      </c>
      <c r="G1172">
        <f t="shared" si="81"/>
        <v>0.13991666666666669</v>
      </c>
    </row>
    <row r="1173" spans="1:7">
      <c r="A1173" s="1">
        <v>20150611</v>
      </c>
      <c r="B1173" s="1">
        <v>17</v>
      </c>
      <c r="C1173" s="2">
        <f t="shared" si="83"/>
        <v>2.238666666666667</v>
      </c>
      <c r="D1173">
        <f t="shared" si="82"/>
        <v>2.5386666666666668</v>
      </c>
      <c r="E1173" s="3">
        <v>11.2</v>
      </c>
      <c r="F1173">
        <f t="shared" si="80"/>
        <v>2.238666666666667</v>
      </c>
      <c r="G1173">
        <f t="shared" si="81"/>
        <v>0.13168627450980394</v>
      </c>
    </row>
    <row r="1174" spans="1:7">
      <c r="A1174" s="1">
        <v>20150611</v>
      </c>
      <c r="B1174" s="1">
        <v>18</v>
      </c>
      <c r="C1174" s="2">
        <f t="shared" si="83"/>
        <v>2.238666666666667</v>
      </c>
      <c r="D1174">
        <f t="shared" si="82"/>
        <v>2.5386666666666668</v>
      </c>
      <c r="E1174" s="3">
        <v>11.2</v>
      </c>
      <c r="F1174">
        <f t="shared" si="80"/>
        <v>2.238666666666667</v>
      </c>
      <c r="G1174">
        <f t="shared" si="81"/>
        <v>0.12437037037037039</v>
      </c>
    </row>
    <row r="1175" spans="1:7">
      <c r="A1175" s="1">
        <v>20150611</v>
      </c>
      <c r="B1175" s="1">
        <v>15</v>
      </c>
      <c r="C1175" s="2">
        <f t="shared" si="83"/>
        <v>2.238666666666667</v>
      </c>
      <c r="D1175">
        <f t="shared" si="82"/>
        <v>2.5386666666666668</v>
      </c>
      <c r="E1175" s="3">
        <v>11.2</v>
      </c>
      <c r="F1175">
        <f t="shared" si="80"/>
        <v>2.238666666666667</v>
      </c>
      <c r="G1175">
        <f t="shared" si="81"/>
        <v>0.14924444444444446</v>
      </c>
    </row>
    <row r="1176" spans="1:7">
      <c r="A1176" s="1">
        <v>20150611</v>
      </c>
      <c r="B1176" s="1">
        <v>17</v>
      </c>
      <c r="C1176" s="2">
        <f t="shared" si="83"/>
        <v>2.238666666666667</v>
      </c>
      <c r="D1176">
        <f t="shared" si="82"/>
        <v>2.5386666666666668</v>
      </c>
      <c r="E1176" s="3">
        <v>11.2</v>
      </c>
      <c r="F1176">
        <f t="shared" si="80"/>
        <v>2.238666666666667</v>
      </c>
      <c r="G1176">
        <f t="shared" si="81"/>
        <v>0.13168627450980394</v>
      </c>
    </row>
    <row r="1177" spans="1:7">
      <c r="A1177" s="1">
        <v>20150611</v>
      </c>
      <c r="B1177" s="1">
        <v>23</v>
      </c>
      <c r="C1177" s="2">
        <f t="shared" si="83"/>
        <v>0.87866666666666671</v>
      </c>
      <c r="D1177">
        <f t="shared" si="82"/>
        <v>1.1786666666666668</v>
      </c>
      <c r="E1177" s="3">
        <v>5.2</v>
      </c>
      <c r="F1177">
        <f t="shared" si="80"/>
        <v>0.87866666666666671</v>
      </c>
      <c r="G1177">
        <f t="shared" si="81"/>
        <v>3.8202898550724639E-2</v>
      </c>
    </row>
    <row r="1178" spans="1:7">
      <c r="A1178" s="1">
        <v>20150611</v>
      </c>
      <c r="B1178" s="1">
        <v>27</v>
      </c>
      <c r="C1178" s="2">
        <f t="shared" si="83"/>
        <v>0.87866666666666671</v>
      </c>
      <c r="D1178">
        <f t="shared" si="82"/>
        <v>1.1786666666666668</v>
      </c>
      <c r="E1178" s="3">
        <v>5.2</v>
      </c>
      <c r="F1178">
        <f t="shared" si="80"/>
        <v>0.87866666666666671</v>
      </c>
      <c r="G1178">
        <f t="shared" si="81"/>
        <v>3.254320987654321E-2</v>
      </c>
    </row>
    <row r="1179" spans="1:7">
      <c r="A1179" s="1">
        <v>20150611</v>
      </c>
      <c r="B1179" s="1">
        <v>12</v>
      </c>
      <c r="C1179" s="2">
        <f t="shared" si="83"/>
        <v>0.87866666666666671</v>
      </c>
      <c r="D1179">
        <f t="shared" si="82"/>
        <v>1.1786666666666668</v>
      </c>
      <c r="E1179" s="3">
        <v>5.2</v>
      </c>
      <c r="F1179">
        <f t="shared" si="80"/>
        <v>0.87866666666666671</v>
      </c>
      <c r="G1179">
        <f t="shared" si="81"/>
        <v>7.322222222222223E-2</v>
      </c>
    </row>
    <row r="1180" spans="1:7">
      <c r="A1180" s="1">
        <v>20150611</v>
      </c>
      <c r="B1180" s="1">
        <v>12</v>
      </c>
      <c r="C1180" s="2">
        <f t="shared" si="83"/>
        <v>0.87866666666666671</v>
      </c>
      <c r="D1180">
        <f t="shared" si="82"/>
        <v>1.1786666666666668</v>
      </c>
      <c r="E1180" s="3">
        <v>5.2</v>
      </c>
      <c r="F1180">
        <f t="shared" si="80"/>
        <v>0.87866666666666671</v>
      </c>
      <c r="G1180">
        <f t="shared" si="81"/>
        <v>7.322222222222223E-2</v>
      </c>
    </row>
    <row r="1181" spans="1:7">
      <c r="A1181" s="1">
        <v>20150611</v>
      </c>
      <c r="B1181" s="1">
        <v>16</v>
      </c>
      <c r="C1181" s="2">
        <f t="shared" si="83"/>
        <v>0.87866666666666671</v>
      </c>
      <c r="D1181">
        <f t="shared" si="82"/>
        <v>1.1786666666666668</v>
      </c>
      <c r="E1181" s="3">
        <v>5.2</v>
      </c>
      <c r="F1181">
        <f t="shared" si="80"/>
        <v>0.87866666666666671</v>
      </c>
      <c r="G1181">
        <f t="shared" si="81"/>
        <v>5.4916666666666669E-2</v>
      </c>
    </row>
    <row r="1182" spans="1:7">
      <c r="A1182" s="1">
        <v>20150611</v>
      </c>
      <c r="B1182" s="1">
        <v>46</v>
      </c>
      <c r="C1182" s="2">
        <f t="shared" si="83"/>
        <v>0.96933333333333338</v>
      </c>
      <c r="D1182">
        <f t="shared" si="82"/>
        <v>1.2693333333333334</v>
      </c>
      <c r="E1182" s="3">
        <v>5.6</v>
      </c>
      <c r="F1182">
        <f t="shared" si="80"/>
        <v>0.96933333333333338</v>
      </c>
      <c r="G1182">
        <f t="shared" si="81"/>
        <v>2.1072463768115942E-2</v>
      </c>
    </row>
    <row r="1183" spans="1:7">
      <c r="A1183" s="1">
        <v>20150611</v>
      </c>
      <c r="B1183" s="1">
        <v>60</v>
      </c>
      <c r="C1183" s="2">
        <f t="shared" si="83"/>
        <v>0.96933333333333338</v>
      </c>
      <c r="D1183">
        <f t="shared" si="82"/>
        <v>1.2693333333333334</v>
      </c>
      <c r="E1183" s="3">
        <v>5.6</v>
      </c>
      <c r="F1183">
        <f t="shared" si="80"/>
        <v>0.96933333333333338</v>
      </c>
      <c r="G1183">
        <f t="shared" si="81"/>
        <v>1.6155555555555555E-2</v>
      </c>
    </row>
    <row r="1184" spans="1:7">
      <c r="A1184" s="1">
        <v>20150611</v>
      </c>
      <c r="B1184" s="1">
        <v>52</v>
      </c>
      <c r="C1184" s="2">
        <f t="shared" si="83"/>
        <v>0.96933333333333338</v>
      </c>
      <c r="D1184">
        <f t="shared" si="82"/>
        <v>1.2693333333333334</v>
      </c>
      <c r="E1184" s="3">
        <v>5.6</v>
      </c>
      <c r="F1184">
        <f t="shared" si="80"/>
        <v>0.96933333333333338</v>
      </c>
      <c r="G1184">
        <f t="shared" si="81"/>
        <v>1.8641025641025641E-2</v>
      </c>
    </row>
    <row r="1185" spans="1:7">
      <c r="A1185" s="1">
        <v>20150611</v>
      </c>
      <c r="B1185" s="1">
        <v>45</v>
      </c>
      <c r="C1185" s="2">
        <f t="shared" si="83"/>
        <v>0.96933333333333338</v>
      </c>
      <c r="D1185">
        <f t="shared" si="82"/>
        <v>1.2693333333333334</v>
      </c>
      <c r="E1185" s="3">
        <v>5.6</v>
      </c>
      <c r="F1185">
        <f t="shared" si="80"/>
        <v>0.96933333333333338</v>
      </c>
      <c r="G1185">
        <f t="shared" si="81"/>
        <v>2.1540740740740742E-2</v>
      </c>
    </row>
    <row r="1186" spans="1:7">
      <c r="A1186" s="1">
        <v>20150611</v>
      </c>
      <c r="B1186" s="1">
        <v>33</v>
      </c>
      <c r="C1186" s="2">
        <f t="shared" si="83"/>
        <v>0.96933333333333338</v>
      </c>
      <c r="D1186">
        <f t="shared" si="82"/>
        <v>1.2693333333333334</v>
      </c>
      <c r="E1186" s="3">
        <v>5.6</v>
      </c>
      <c r="F1186">
        <f t="shared" si="80"/>
        <v>0.96933333333333338</v>
      </c>
      <c r="G1186">
        <f t="shared" si="81"/>
        <v>2.9373737373737375E-2</v>
      </c>
    </row>
    <row r="1187" spans="1:7">
      <c r="A1187" s="1">
        <v>20150611</v>
      </c>
      <c r="B1187" s="1">
        <v>28</v>
      </c>
      <c r="C1187" s="2">
        <f t="shared" si="83"/>
        <v>1.2186666666666668</v>
      </c>
      <c r="D1187">
        <f t="shared" si="82"/>
        <v>1.5186666666666668</v>
      </c>
      <c r="E1187" s="3">
        <v>6.7</v>
      </c>
      <c r="F1187">
        <f t="shared" si="80"/>
        <v>1.2186666666666668</v>
      </c>
      <c r="G1187">
        <f t="shared" si="81"/>
        <v>4.3523809523809527E-2</v>
      </c>
    </row>
    <row r="1188" spans="1:7">
      <c r="A1188" s="1">
        <v>20150611</v>
      </c>
      <c r="B1188" s="1">
        <v>24</v>
      </c>
      <c r="C1188" s="2">
        <f t="shared" si="83"/>
        <v>1.2186666666666668</v>
      </c>
      <c r="D1188">
        <f t="shared" si="82"/>
        <v>1.5186666666666668</v>
      </c>
      <c r="E1188" s="3">
        <v>6.7</v>
      </c>
      <c r="F1188">
        <f t="shared" si="80"/>
        <v>1.2186666666666668</v>
      </c>
      <c r="G1188">
        <f t="shared" si="81"/>
        <v>5.0777777777777783E-2</v>
      </c>
    </row>
    <row r="1189" spans="1:7">
      <c r="A1189" s="1">
        <v>20150611</v>
      </c>
      <c r="B1189" s="1">
        <v>23</v>
      </c>
      <c r="C1189" s="2">
        <f t="shared" si="83"/>
        <v>1.2186666666666668</v>
      </c>
      <c r="D1189">
        <f t="shared" si="82"/>
        <v>1.5186666666666668</v>
      </c>
      <c r="E1189" s="3">
        <v>6.7</v>
      </c>
      <c r="F1189">
        <f t="shared" si="80"/>
        <v>1.2186666666666668</v>
      </c>
      <c r="G1189">
        <f t="shared" si="81"/>
        <v>5.2985507246376816E-2</v>
      </c>
    </row>
    <row r="1190" spans="1:7">
      <c r="A1190" s="1">
        <v>20150611</v>
      </c>
      <c r="B1190" s="1">
        <v>27</v>
      </c>
      <c r="C1190" s="2">
        <f t="shared" si="83"/>
        <v>1.2186666666666668</v>
      </c>
      <c r="D1190">
        <f t="shared" si="82"/>
        <v>1.5186666666666668</v>
      </c>
      <c r="E1190" s="3">
        <v>6.7</v>
      </c>
      <c r="F1190">
        <f t="shared" si="80"/>
        <v>1.2186666666666668</v>
      </c>
      <c r="G1190">
        <f t="shared" si="81"/>
        <v>4.5135802469135809E-2</v>
      </c>
    </row>
    <row r="1191" spans="1:7">
      <c r="A1191" s="1">
        <v>20150611</v>
      </c>
      <c r="B1191" s="1">
        <v>23</v>
      </c>
      <c r="C1191" s="2">
        <f t="shared" si="83"/>
        <v>1.2186666666666668</v>
      </c>
      <c r="D1191">
        <f t="shared" si="82"/>
        <v>1.5186666666666668</v>
      </c>
      <c r="E1191" s="3">
        <v>6.7</v>
      </c>
      <c r="F1191">
        <f t="shared" si="80"/>
        <v>1.2186666666666668</v>
      </c>
      <c r="G1191">
        <f t="shared" si="81"/>
        <v>5.2985507246376816E-2</v>
      </c>
    </row>
    <row r="1192" spans="1:7">
      <c r="A1192" s="1">
        <v>20150611</v>
      </c>
      <c r="B1192" s="1">
        <v>46</v>
      </c>
      <c r="C1192" s="2">
        <f t="shared" si="83"/>
        <v>1.4453333333333334</v>
      </c>
      <c r="D1192">
        <f t="shared" si="82"/>
        <v>1.7453333333333334</v>
      </c>
      <c r="E1192" s="3">
        <v>7.7</v>
      </c>
      <c r="F1192">
        <f t="shared" si="80"/>
        <v>1.4453333333333334</v>
      </c>
      <c r="G1192">
        <f t="shared" si="81"/>
        <v>3.1420289855072461E-2</v>
      </c>
    </row>
    <row r="1193" spans="1:7">
      <c r="A1193" s="1">
        <v>20150611</v>
      </c>
      <c r="B1193" s="1">
        <v>27</v>
      </c>
      <c r="C1193" s="2">
        <f t="shared" si="83"/>
        <v>1.4453333333333334</v>
      </c>
      <c r="D1193">
        <f t="shared" si="82"/>
        <v>1.7453333333333334</v>
      </c>
      <c r="E1193" s="3">
        <v>7.7</v>
      </c>
      <c r="F1193">
        <f t="shared" ref="F1193:F1256" si="84">C1193</f>
        <v>1.4453333333333334</v>
      </c>
      <c r="G1193">
        <f t="shared" ref="G1193:G1256" si="85">F1193/B1193</f>
        <v>5.3530864197530864E-2</v>
      </c>
    </row>
    <row r="1194" spans="1:7">
      <c r="A1194" s="1">
        <v>20150611</v>
      </c>
      <c r="B1194" s="1">
        <v>29</v>
      </c>
      <c r="C1194" s="2">
        <f t="shared" si="83"/>
        <v>1.4453333333333334</v>
      </c>
      <c r="D1194">
        <f t="shared" si="82"/>
        <v>1.7453333333333334</v>
      </c>
      <c r="E1194" s="3">
        <v>7.7</v>
      </c>
      <c r="F1194">
        <f t="shared" si="84"/>
        <v>1.4453333333333334</v>
      </c>
      <c r="G1194">
        <f t="shared" si="85"/>
        <v>4.9839080459770119E-2</v>
      </c>
    </row>
    <row r="1195" spans="1:7">
      <c r="A1195" s="1">
        <v>20150611</v>
      </c>
      <c r="B1195" s="1">
        <v>12</v>
      </c>
      <c r="C1195" s="2">
        <f t="shared" si="83"/>
        <v>1.4453333333333334</v>
      </c>
      <c r="D1195">
        <f t="shared" si="82"/>
        <v>1.7453333333333334</v>
      </c>
      <c r="E1195" s="3">
        <v>7.7</v>
      </c>
      <c r="F1195">
        <f t="shared" si="84"/>
        <v>1.4453333333333334</v>
      </c>
      <c r="G1195">
        <f t="shared" si="85"/>
        <v>0.12044444444444445</v>
      </c>
    </row>
    <row r="1196" spans="1:7">
      <c r="A1196" s="1">
        <v>20150611</v>
      </c>
      <c r="B1196" s="1">
        <v>25</v>
      </c>
      <c r="C1196" s="2">
        <f t="shared" si="83"/>
        <v>1.4453333333333334</v>
      </c>
      <c r="D1196">
        <f t="shared" si="82"/>
        <v>1.7453333333333334</v>
      </c>
      <c r="E1196" s="3">
        <v>7.7</v>
      </c>
      <c r="F1196">
        <f t="shared" si="84"/>
        <v>1.4453333333333334</v>
      </c>
      <c r="G1196">
        <f t="shared" si="85"/>
        <v>5.7813333333333335E-2</v>
      </c>
    </row>
    <row r="1197" spans="1:7">
      <c r="A1197" s="1">
        <v>20150611</v>
      </c>
      <c r="B1197" s="1">
        <v>13</v>
      </c>
      <c r="C1197" s="2">
        <f t="shared" si="83"/>
        <v>1.7173333333333336</v>
      </c>
      <c r="D1197">
        <f t="shared" si="82"/>
        <v>2.0173333333333336</v>
      </c>
      <c r="E1197" s="3">
        <v>8.9</v>
      </c>
      <c r="F1197">
        <f t="shared" si="84"/>
        <v>1.7173333333333336</v>
      </c>
      <c r="G1197">
        <f t="shared" si="85"/>
        <v>0.13210256410256413</v>
      </c>
    </row>
    <row r="1198" spans="1:7">
      <c r="A1198" s="1">
        <v>20150611</v>
      </c>
      <c r="B1198" s="1">
        <v>44</v>
      </c>
      <c r="C1198" s="2">
        <f t="shared" si="83"/>
        <v>1.7173333333333336</v>
      </c>
      <c r="D1198">
        <f t="shared" si="82"/>
        <v>2.0173333333333336</v>
      </c>
      <c r="E1198" s="3">
        <v>8.9</v>
      </c>
      <c r="F1198">
        <f t="shared" si="84"/>
        <v>1.7173333333333336</v>
      </c>
      <c r="G1198">
        <f t="shared" si="85"/>
        <v>3.9030303030303033E-2</v>
      </c>
    </row>
    <row r="1199" spans="1:7">
      <c r="A1199" s="1">
        <v>20150611</v>
      </c>
      <c r="B1199" s="1">
        <v>19</v>
      </c>
      <c r="C1199" s="2">
        <f t="shared" si="83"/>
        <v>1.7173333333333336</v>
      </c>
      <c r="D1199">
        <f t="shared" si="82"/>
        <v>2.0173333333333336</v>
      </c>
      <c r="E1199" s="3">
        <v>8.9</v>
      </c>
      <c r="F1199">
        <f t="shared" si="84"/>
        <v>1.7173333333333336</v>
      </c>
      <c r="G1199">
        <f t="shared" si="85"/>
        <v>9.0385964912280722E-2</v>
      </c>
    </row>
    <row r="1200" spans="1:7">
      <c r="A1200" s="1">
        <v>20150611</v>
      </c>
      <c r="B1200" s="1">
        <v>18</v>
      </c>
      <c r="C1200" s="2">
        <f t="shared" si="83"/>
        <v>1.7173333333333336</v>
      </c>
      <c r="D1200">
        <f t="shared" si="82"/>
        <v>2.0173333333333336</v>
      </c>
      <c r="E1200" s="3">
        <v>8.9</v>
      </c>
      <c r="F1200">
        <f t="shared" si="84"/>
        <v>1.7173333333333336</v>
      </c>
      <c r="G1200">
        <f t="shared" si="85"/>
        <v>9.5407407407407427E-2</v>
      </c>
    </row>
    <row r="1201" spans="1:7">
      <c r="A1201" s="1">
        <v>20150611</v>
      </c>
      <c r="B1201" s="1">
        <v>8</v>
      </c>
      <c r="C1201" s="2">
        <f t="shared" si="83"/>
        <v>1.7173333333333336</v>
      </c>
      <c r="D1201">
        <f t="shared" si="82"/>
        <v>2.0173333333333336</v>
      </c>
      <c r="E1201" s="3">
        <v>8.9</v>
      </c>
      <c r="F1201">
        <f t="shared" si="84"/>
        <v>1.7173333333333336</v>
      </c>
      <c r="G1201">
        <f t="shared" si="85"/>
        <v>0.2146666666666667</v>
      </c>
    </row>
    <row r="1202" spans="1:7">
      <c r="A1202" s="1">
        <v>20150611</v>
      </c>
      <c r="B1202" s="1">
        <v>22</v>
      </c>
      <c r="C1202" s="2">
        <f t="shared" si="83"/>
        <v>2.238666666666667</v>
      </c>
      <c r="D1202">
        <f t="shared" ref="D1202:D1265" si="86">0.17*($H$3/12)*E1202</f>
        <v>2.5386666666666668</v>
      </c>
      <c r="E1202" s="3">
        <v>11.2</v>
      </c>
      <c r="F1202">
        <f t="shared" si="84"/>
        <v>2.238666666666667</v>
      </c>
      <c r="G1202">
        <f t="shared" si="85"/>
        <v>0.10175757575757577</v>
      </c>
    </row>
    <row r="1203" spans="1:7">
      <c r="A1203" s="1">
        <v>20150611</v>
      </c>
      <c r="B1203" s="1">
        <v>13</v>
      </c>
      <c r="C1203" s="2">
        <f t="shared" si="83"/>
        <v>2.238666666666667</v>
      </c>
      <c r="D1203">
        <f t="shared" si="86"/>
        <v>2.5386666666666668</v>
      </c>
      <c r="E1203" s="3">
        <v>11.2</v>
      </c>
      <c r="F1203">
        <f t="shared" si="84"/>
        <v>2.238666666666667</v>
      </c>
      <c r="G1203">
        <f t="shared" si="85"/>
        <v>0.17220512820512823</v>
      </c>
    </row>
    <row r="1204" spans="1:7">
      <c r="A1204" s="1">
        <v>20150611</v>
      </c>
      <c r="B1204" s="1">
        <v>15</v>
      </c>
      <c r="C1204" s="2">
        <f t="shared" ref="C1204:C1267" si="87">D1204-$S$46</f>
        <v>2.238666666666667</v>
      </c>
      <c r="D1204">
        <f t="shared" si="86"/>
        <v>2.5386666666666668</v>
      </c>
      <c r="E1204" s="3">
        <v>11.2</v>
      </c>
      <c r="F1204">
        <f t="shared" si="84"/>
        <v>2.238666666666667</v>
      </c>
      <c r="G1204">
        <f t="shared" si="85"/>
        <v>0.14924444444444446</v>
      </c>
    </row>
    <row r="1205" spans="1:7">
      <c r="A1205" s="1">
        <v>20150611</v>
      </c>
      <c r="B1205" s="1">
        <v>19</v>
      </c>
      <c r="C1205" s="2">
        <f t="shared" si="87"/>
        <v>2.238666666666667</v>
      </c>
      <c r="D1205">
        <f t="shared" si="86"/>
        <v>2.5386666666666668</v>
      </c>
      <c r="E1205" s="3">
        <v>11.2</v>
      </c>
      <c r="F1205">
        <f t="shared" si="84"/>
        <v>2.238666666666667</v>
      </c>
      <c r="G1205">
        <f t="shared" si="85"/>
        <v>0.11782456140350879</v>
      </c>
    </row>
    <row r="1206" spans="1:7">
      <c r="A1206" s="1">
        <v>20150611</v>
      </c>
      <c r="B1206" s="1">
        <v>16</v>
      </c>
      <c r="C1206" s="2">
        <f t="shared" si="87"/>
        <v>2.238666666666667</v>
      </c>
      <c r="D1206">
        <f t="shared" si="86"/>
        <v>2.5386666666666668</v>
      </c>
      <c r="E1206" s="3">
        <v>11.2</v>
      </c>
      <c r="F1206">
        <f t="shared" si="84"/>
        <v>2.238666666666667</v>
      </c>
      <c r="G1206">
        <f t="shared" si="85"/>
        <v>0.13991666666666669</v>
      </c>
    </row>
    <row r="1207" spans="1:7">
      <c r="A1207" s="1">
        <v>20150611</v>
      </c>
      <c r="B1207" s="1">
        <v>18</v>
      </c>
      <c r="C1207" s="2">
        <f t="shared" si="87"/>
        <v>0.87866666666666671</v>
      </c>
      <c r="D1207">
        <f t="shared" si="86"/>
        <v>1.1786666666666668</v>
      </c>
      <c r="E1207" s="3">
        <v>5.2</v>
      </c>
      <c r="F1207">
        <f t="shared" si="84"/>
        <v>0.87866666666666671</v>
      </c>
      <c r="G1207">
        <f t="shared" si="85"/>
        <v>4.8814814814814818E-2</v>
      </c>
    </row>
    <row r="1208" spans="1:7">
      <c r="A1208" s="1">
        <v>20150611</v>
      </c>
      <c r="B1208" s="1">
        <v>17</v>
      </c>
      <c r="C1208" s="2">
        <f t="shared" si="87"/>
        <v>0.87866666666666671</v>
      </c>
      <c r="D1208">
        <f t="shared" si="86"/>
        <v>1.1786666666666668</v>
      </c>
      <c r="E1208" s="3">
        <v>5.2</v>
      </c>
      <c r="F1208">
        <f t="shared" si="84"/>
        <v>0.87866666666666671</v>
      </c>
      <c r="G1208">
        <f t="shared" si="85"/>
        <v>5.1686274509803926E-2</v>
      </c>
    </row>
    <row r="1209" spans="1:7">
      <c r="A1209" s="1">
        <v>20150611</v>
      </c>
      <c r="B1209" s="1">
        <v>12</v>
      </c>
      <c r="C1209" s="2">
        <f t="shared" si="87"/>
        <v>0.87866666666666671</v>
      </c>
      <c r="D1209">
        <f t="shared" si="86"/>
        <v>1.1786666666666668</v>
      </c>
      <c r="E1209" s="3">
        <v>5.2</v>
      </c>
      <c r="F1209">
        <f t="shared" si="84"/>
        <v>0.87866666666666671</v>
      </c>
      <c r="G1209">
        <f t="shared" si="85"/>
        <v>7.322222222222223E-2</v>
      </c>
    </row>
    <row r="1210" spans="1:7">
      <c r="A1210" s="1">
        <v>20150611</v>
      </c>
      <c r="B1210" s="1">
        <v>27</v>
      </c>
      <c r="C1210" s="2">
        <f t="shared" si="87"/>
        <v>0.87866666666666671</v>
      </c>
      <c r="D1210">
        <f t="shared" si="86"/>
        <v>1.1786666666666668</v>
      </c>
      <c r="E1210" s="3">
        <v>5.2</v>
      </c>
      <c r="F1210">
        <f t="shared" si="84"/>
        <v>0.87866666666666671</v>
      </c>
      <c r="G1210">
        <f t="shared" si="85"/>
        <v>3.254320987654321E-2</v>
      </c>
    </row>
    <row r="1211" spans="1:7">
      <c r="A1211" s="1">
        <v>20150611</v>
      </c>
      <c r="B1211" s="1">
        <v>20</v>
      </c>
      <c r="C1211" s="2">
        <f t="shared" si="87"/>
        <v>0.87866666666666671</v>
      </c>
      <c r="D1211">
        <f t="shared" si="86"/>
        <v>1.1786666666666668</v>
      </c>
      <c r="E1211" s="3">
        <v>5.2</v>
      </c>
      <c r="F1211">
        <f t="shared" si="84"/>
        <v>0.87866666666666671</v>
      </c>
      <c r="G1211">
        <f t="shared" si="85"/>
        <v>4.3933333333333338E-2</v>
      </c>
    </row>
    <row r="1212" spans="1:7">
      <c r="A1212" s="1">
        <v>20150611</v>
      </c>
      <c r="B1212" s="1">
        <v>40</v>
      </c>
      <c r="C1212" s="2">
        <f t="shared" si="87"/>
        <v>0.96933333333333338</v>
      </c>
      <c r="D1212">
        <f t="shared" si="86"/>
        <v>1.2693333333333334</v>
      </c>
      <c r="E1212" s="3">
        <v>5.6</v>
      </c>
      <c r="F1212">
        <f t="shared" si="84"/>
        <v>0.96933333333333338</v>
      </c>
      <c r="G1212">
        <f t="shared" si="85"/>
        <v>2.4233333333333336E-2</v>
      </c>
    </row>
    <row r="1213" spans="1:7">
      <c r="A1213" s="1">
        <v>20150611</v>
      </c>
      <c r="B1213" s="1">
        <v>54</v>
      </c>
      <c r="C1213" s="2">
        <f t="shared" si="87"/>
        <v>0.96933333333333338</v>
      </c>
      <c r="D1213">
        <f t="shared" si="86"/>
        <v>1.2693333333333334</v>
      </c>
      <c r="E1213" s="3">
        <v>5.6</v>
      </c>
      <c r="F1213">
        <f t="shared" si="84"/>
        <v>0.96933333333333338</v>
      </c>
      <c r="G1213">
        <f t="shared" si="85"/>
        <v>1.7950617283950619E-2</v>
      </c>
    </row>
    <row r="1214" spans="1:7">
      <c r="A1214" s="1">
        <v>20150611</v>
      </c>
      <c r="B1214" s="1">
        <v>57</v>
      </c>
      <c r="C1214" s="2">
        <f t="shared" si="87"/>
        <v>0.96933333333333338</v>
      </c>
      <c r="D1214">
        <f t="shared" si="86"/>
        <v>1.2693333333333334</v>
      </c>
      <c r="E1214" s="3">
        <v>5.6</v>
      </c>
      <c r="F1214">
        <f t="shared" si="84"/>
        <v>0.96933333333333338</v>
      </c>
      <c r="G1214">
        <f t="shared" si="85"/>
        <v>1.7005847953216375E-2</v>
      </c>
    </row>
    <row r="1215" spans="1:7">
      <c r="A1215" s="1">
        <v>20150611</v>
      </c>
      <c r="B1215" s="1">
        <v>59</v>
      </c>
      <c r="C1215" s="2">
        <f t="shared" si="87"/>
        <v>0.96933333333333338</v>
      </c>
      <c r="D1215">
        <f t="shared" si="86"/>
        <v>1.2693333333333334</v>
      </c>
      <c r="E1215" s="3">
        <v>5.6</v>
      </c>
      <c r="F1215">
        <f t="shared" si="84"/>
        <v>0.96933333333333338</v>
      </c>
      <c r="G1215">
        <f t="shared" si="85"/>
        <v>1.6429378531073447E-2</v>
      </c>
    </row>
    <row r="1216" spans="1:7">
      <c r="A1216" s="1">
        <v>20150611</v>
      </c>
      <c r="B1216" s="1">
        <v>52</v>
      </c>
      <c r="C1216" s="2">
        <f t="shared" si="87"/>
        <v>0.96933333333333338</v>
      </c>
      <c r="D1216">
        <f t="shared" si="86"/>
        <v>1.2693333333333334</v>
      </c>
      <c r="E1216" s="3">
        <v>5.6</v>
      </c>
      <c r="F1216">
        <f t="shared" si="84"/>
        <v>0.96933333333333338</v>
      </c>
      <c r="G1216">
        <f t="shared" si="85"/>
        <v>1.8641025641025641E-2</v>
      </c>
    </row>
    <row r="1217" spans="1:7">
      <c r="A1217" s="1">
        <v>20150611</v>
      </c>
      <c r="B1217" s="1">
        <v>23</v>
      </c>
      <c r="C1217" s="2">
        <f t="shared" si="87"/>
        <v>0.56133333333333346</v>
      </c>
      <c r="D1217">
        <f t="shared" si="86"/>
        <v>0.8613333333333334</v>
      </c>
      <c r="E1217" s="3">
        <v>3.8</v>
      </c>
      <c r="F1217">
        <f t="shared" si="84"/>
        <v>0.56133333333333346</v>
      </c>
      <c r="G1217">
        <f t="shared" si="85"/>
        <v>2.4405797101449279E-2</v>
      </c>
    </row>
    <row r="1218" spans="1:7">
      <c r="A1218" s="1">
        <v>20150611</v>
      </c>
      <c r="B1218" s="1">
        <v>8</v>
      </c>
      <c r="C1218" s="2">
        <f t="shared" si="87"/>
        <v>0.56133333333333346</v>
      </c>
      <c r="D1218">
        <f t="shared" si="86"/>
        <v>0.8613333333333334</v>
      </c>
      <c r="E1218" s="3">
        <v>3.8</v>
      </c>
      <c r="F1218">
        <f t="shared" si="84"/>
        <v>0.56133333333333346</v>
      </c>
      <c r="G1218">
        <f t="shared" si="85"/>
        <v>7.0166666666666683E-2</v>
      </c>
    </row>
    <row r="1219" spans="1:7">
      <c r="A1219" s="1">
        <v>20150611</v>
      </c>
      <c r="B1219" s="1">
        <v>15</v>
      </c>
      <c r="C1219" s="2">
        <f t="shared" si="87"/>
        <v>0.56133333333333346</v>
      </c>
      <c r="D1219">
        <f t="shared" si="86"/>
        <v>0.8613333333333334</v>
      </c>
      <c r="E1219" s="3">
        <v>3.8</v>
      </c>
      <c r="F1219">
        <f t="shared" si="84"/>
        <v>0.56133333333333346</v>
      </c>
      <c r="G1219">
        <f t="shared" si="85"/>
        <v>3.7422222222222232E-2</v>
      </c>
    </row>
    <row r="1220" spans="1:7">
      <c r="A1220" s="1">
        <v>20150611</v>
      </c>
      <c r="B1220" s="1">
        <v>13</v>
      </c>
      <c r="C1220" s="2">
        <f t="shared" si="87"/>
        <v>0.56133333333333346</v>
      </c>
      <c r="D1220">
        <f t="shared" si="86"/>
        <v>0.8613333333333334</v>
      </c>
      <c r="E1220" s="3">
        <v>3.8</v>
      </c>
      <c r="F1220">
        <f t="shared" si="84"/>
        <v>0.56133333333333346</v>
      </c>
      <c r="G1220">
        <f t="shared" si="85"/>
        <v>4.3179487179487192E-2</v>
      </c>
    </row>
    <row r="1221" spans="1:7">
      <c r="A1221" s="1">
        <v>20150611</v>
      </c>
      <c r="B1221" s="1">
        <v>5</v>
      </c>
      <c r="C1221" s="2">
        <f t="shared" si="87"/>
        <v>0.56133333333333346</v>
      </c>
      <c r="D1221">
        <f t="shared" si="86"/>
        <v>0.8613333333333334</v>
      </c>
      <c r="E1221" s="3">
        <v>3.8</v>
      </c>
      <c r="F1221">
        <f t="shared" si="84"/>
        <v>0.56133333333333346</v>
      </c>
      <c r="G1221">
        <f t="shared" si="85"/>
        <v>0.1122666666666667</v>
      </c>
    </row>
    <row r="1222" spans="1:7">
      <c r="A1222" s="1">
        <v>20150611</v>
      </c>
      <c r="B1222" s="1">
        <v>48</v>
      </c>
      <c r="C1222" s="2">
        <f t="shared" si="87"/>
        <v>1.0146666666666666</v>
      </c>
      <c r="D1222">
        <f t="shared" si="86"/>
        <v>1.3146666666666667</v>
      </c>
      <c r="E1222" s="3">
        <v>5.8</v>
      </c>
      <c r="F1222">
        <f t="shared" si="84"/>
        <v>1.0146666666666666</v>
      </c>
      <c r="G1222">
        <f t="shared" si="85"/>
        <v>2.1138888888888888E-2</v>
      </c>
    </row>
    <row r="1223" spans="1:7">
      <c r="A1223" s="1">
        <v>20150611</v>
      </c>
      <c r="B1223" s="1">
        <v>16</v>
      </c>
      <c r="C1223" s="2">
        <f t="shared" si="87"/>
        <v>1.0146666666666666</v>
      </c>
      <c r="D1223">
        <f t="shared" si="86"/>
        <v>1.3146666666666667</v>
      </c>
      <c r="E1223" s="3">
        <v>5.8</v>
      </c>
      <c r="F1223">
        <f t="shared" si="84"/>
        <v>1.0146666666666666</v>
      </c>
      <c r="G1223">
        <f t="shared" si="85"/>
        <v>6.3416666666666663E-2</v>
      </c>
    </row>
    <row r="1224" spans="1:7">
      <c r="A1224" s="1">
        <v>20150611</v>
      </c>
      <c r="B1224" s="1">
        <v>7</v>
      </c>
      <c r="C1224" s="2">
        <f t="shared" si="87"/>
        <v>1.0146666666666666</v>
      </c>
      <c r="D1224">
        <f t="shared" si="86"/>
        <v>1.3146666666666667</v>
      </c>
      <c r="E1224" s="3">
        <v>5.8</v>
      </c>
      <c r="F1224">
        <f t="shared" si="84"/>
        <v>1.0146666666666666</v>
      </c>
      <c r="G1224">
        <f t="shared" si="85"/>
        <v>0.14495238095238094</v>
      </c>
    </row>
    <row r="1225" spans="1:7">
      <c r="A1225" s="1">
        <v>20150611</v>
      </c>
      <c r="B1225" s="1">
        <v>16</v>
      </c>
      <c r="C1225" s="2">
        <f t="shared" si="87"/>
        <v>1.0146666666666666</v>
      </c>
      <c r="D1225">
        <f t="shared" si="86"/>
        <v>1.3146666666666667</v>
      </c>
      <c r="E1225" s="3">
        <v>5.8</v>
      </c>
      <c r="F1225">
        <f t="shared" si="84"/>
        <v>1.0146666666666666</v>
      </c>
      <c r="G1225">
        <f t="shared" si="85"/>
        <v>6.3416666666666663E-2</v>
      </c>
    </row>
    <row r="1226" spans="1:7">
      <c r="A1226" s="1">
        <v>20150611</v>
      </c>
      <c r="B1226" s="1">
        <v>54</v>
      </c>
      <c r="C1226" s="2">
        <f t="shared" si="87"/>
        <v>1.0146666666666666</v>
      </c>
      <c r="D1226">
        <f t="shared" si="86"/>
        <v>1.3146666666666667</v>
      </c>
      <c r="E1226" s="3">
        <v>5.8</v>
      </c>
      <c r="F1226">
        <f t="shared" si="84"/>
        <v>1.0146666666666666</v>
      </c>
      <c r="G1226">
        <f t="shared" si="85"/>
        <v>1.8790123456790122E-2</v>
      </c>
    </row>
    <row r="1227" spans="1:7">
      <c r="A1227" s="1">
        <v>20150611</v>
      </c>
      <c r="B1227" s="1">
        <v>14</v>
      </c>
      <c r="C1227" s="2">
        <f t="shared" si="87"/>
        <v>0.90133333333333332</v>
      </c>
      <c r="D1227">
        <f t="shared" si="86"/>
        <v>1.2013333333333334</v>
      </c>
      <c r="E1227" s="3">
        <v>5.3</v>
      </c>
      <c r="F1227">
        <f t="shared" si="84"/>
        <v>0.90133333333333332</v>
      </c>
      <c r="G1227">
        <f t="shared" si="85"/>
        <v>6.4380952380952386E-2</v>
      </c>
    </row>
    <row r="1228" spans="1:7">
      <c r="A1228" s="1">
        <v>20150611</v>
      </c>
      <c r="B1228" s="1">
        <v>13</v>
      </c>
      <c r="C1228" s="2">
        <f t="shared" si="87"/>
        <v>0.90133333333333332</v>
      </c>
      <c r="D1228">
        <f t="shared" si="86"/>
        <v>1.2013333333333334</v>
      </c>
      <c r="E1228" s="3">
        <v>5.3</v>
      </c>
      <c r="F1228">
        <f t="shared" si="84"/>
        <v>0.90133333333333332</v>
      </c>
      <c r="G1228">
        <f t="shared" si="85"/>
        <v>6.933333333333333E-2</v>
      </c>
    </row>
    <row r="1229" spans="1:7">
      <c r="A1229" s="1">
        <v>20150611</v>
      </c>
      <c r="B1229" s="1">
        <v>25</v>
      </c>
      <c r="C1229" s="2">
        <f t="shared" si="87"/>
        <v>0.90133333333333332</v>
      </c>
      <c r="D1229">
        <f t="shared" si="86"/>
        <v>1.2013333333333334</v>
      </c>
      <c r="E1229" s="3">
        <v>5.3</v>
      </c>
      <c r="F1229">
        <f t="shared" si="84"/>
        <v>0.90133333333333332</v>
      </c>
      <c r="G1229">
        <f t="shared" si="85"/>
        <v>3.6053333333333333E-2</v>
      </c>
    </row>
    <row r="1230" spans="1:7">
      <c r="A1230" s="1">
        <v>20150611</v>
      </c>
      <c r="B1230" s="1">
        <v>32</v>
      </c>
      <c r="C1230" s="2">
        <f t="shared" si="87"/>
        <v>0.90133333333333332</v>
      </c>
      <c r="D1230">
        <f t="shared" si="86"/>
        <v>1.2013333333333334</v>
      </c>
      <c r="E1230" s="3">
        <v>5.3</v>
      </c>
      <c r="F1230">
        <f t="shared" si="84"/>
        <v>0.90133333333333332</v>
      </c>
      <c r="G1230">
        <f t="shared" si="85"/>
        <v>2.8166666666666666E-2</v>
      </c>
    </row>
    <row r="1231" spans="1:7">
      <c r="A1231" s="1">
        <v>20150611</v>
      </c>
      <c r="B1231" s="1">
        <v>13</v>
      </c>
      <c r="C1231" s="2">
        <f t="shared" si="87"/>
        <v>0.90133333333333332</v>
      </c>
      <c r="D1231">
        <f t="shared" si="86"/>
        <v>1.2013333333333334</v>
      </c>
      <c r="E1231" s="3">
        <v>5.3</v>
      </c>
      <c r="F1231">
        <f t="shared" si="84"/>
        <v>0.90133333333333332</v>
      </c>
      <c r="G1231">
        <f t="shared" si="85"/>
        <v>6.933333333333333E-2</v>
      </c>
    </row>
    <row r="1232" spans="1:7">
      <c r="A1232" s="1">
        <v>20150611</v>
      </c>
      <c r="B1232" s="1">
        <v>0.01</v>
      </c>
      <c r="C1232" s="2">
        <f t="shared" si="87"/>
        <v>0.67466666666666675</v>
      </c>
      <c r="D1232">
        <f t="shared" si="86"/>
        <v>0.97466666666666668</v>
      </c>
      <c r="E1232" s="3">
        <v>4.3</v>
      </c>
      <c r="F1232">
        <f t="shared" si="84"/>
        <v>0.67466666666666675</v>
      </c>
      <c r="G1232">
        <f t="shared" si="85"/>
        <v>67.466666666666669</v>
      </c>
    </row>
    <row r="1233" spans="1:7">
      <c r="A1233" s="1">
        <v>20150611</v>
      </c>
      <c r="B1233" s="1">
        <v>9</v>
      </c>
      <c r="C1233" s="2">
        <f t="shared" si="87"/>
        <v>0.67466666666666675</v>
      </c>
      <c r="D1233">
        <f t="shared" si="86"/>
        <v>0.97466666666666668</v>
      </c>
      <c r="E1233" s="3">
        <v>4.3</v>
      </c>
      <c r="F1233">
        <f t="shared" si="84"/>
        <v>0.67466666666666675</v>
      </c>
      <c r="G1233">
        <f t="shared" si="85"/>
        <v>7.4962962962962967E-2</v>
      </c>
    </row>
    <row r="1234" spans="1:7">
      <c r="A1234" s="1">
        <v>20150611</v>
      </c>
      <c r="B1234" s="1">
        <v>11</v>
      </c>
      <c r="C1234" s="2">
        <f t="shared" si="87"/>
        <v>0.67466666666666675</v>
      </c>
      <c r="D1234">
        <f t="shared" si="86"/>
        <v>0.97466666666666668</v>
      </c>
      <c r="E1234" s="3">
        <v>4.3</v>
      </c>
      <c r="F1234">
        <f t="shared" si="84"/>
        <v>0.67466666666666675</v>
      </c>
      <c r="G1234">
        <f t="shared" si="85"/>
        <v>6.1333333333333344E-2</v>
      </c>
    </row>
    <row r="1235" spans="1:7">
      <c r="A1235" s="1">
        <v>20150611</v>
      </c>
      <c r="B1235" s="1">
        <v>7</v>
      </c>
      <c r="C1235" s="2">
        <f t="shared" si="87"/>
        <v>0.67466666666666675</v>
      </c>
      <c r="D1235">
        <f t="shared" si="86"/>
        <v>0.97466666666666668</v>
      </c>
      <c r="E1235" s="3">
        <v>4.3</v>
      </c>
      <c r="F1235">
        <f t="shared" si="84"/>
        <v>0.67466666666666675</v>
      </c>
      <c r="G1235">
        <f t="shared" si="85"/>
        <v>9.6380952380952387E-2</v>
      </c>
    </row>
    <row r="1236" spans="1:7">
      <c r="A1236" s="1">
        <v>20150611</v>
      </c>
      <c r="B1236" s="1">
        <v>33</v>
      </c>
      <c r="C1236" s="2">
        <f t="shared" si="87"/>
        <v>0.67466666666666675</v>
      </c>
      <c r="D1236">
        <f t="shared" si="86"/>
        <v>0.97466666666666668</v>
      </c>
      <c r="E1236" s="3">
        <v>4.3</v>
      </c>
      <c r="F1236">
        <f t="shared" si="84"/>
        <v>0.67466666666666675</v>
      </c>
      <c r="G1236">
        <f t="shared" si="85"/>
        <v>2.0444444444444446E-2</v>
      </c>
    </row>
    <row r="1237" spans="1:7">
      <c r="A1237" s="1">
        <v>20150611</v>
      </c>
      <c r="B1237" s="1">
        <v>5</v>
      </c>
      <c r="C1237" s="2">
        <f t="shared" si="87"/>
        <v>0.58400000000000007</v>
      </c>
      <c r="D1237">
        <f t="shared" si="86"/>
        <v>0.88400000000000001</v>
      </c>
      <c r="E1237" s="3">
        <v>3.9</v>
      </c>
      <c r="F1237">
        <f t="shared" si="84"/>
        <v>0.58400000000000007</v>
      </c>
      <c r="G1237">
        <f t="shared" si="85"/>
        <v>0.11680000000000001</v>
      </c>
    </row>
    <row r="1238" spans="1:7">
      <c r="A1238" s="1">
        <v>20150611</v>
      </c>
      <c r="B1238" s="1">
        <v>18</v>
      </c>
      <c r="C1238" s="2">
        <f t="shared" si="87"/>
        <v>0.58400000000000007</v>
      </c>
      <c r="D1238">
        <f t="shared" si="86"/>
        <v>0.88400000000000001</v>
      </c>
      <c r="E1238" s="3">
        <v>3.9</v>
      </c>
      <c r="F1238">
        <f t="shared" si="84"/>
        <v>0.58400000000000007</v>
      </c>
      <c r="G1238">
        <f t="shared" si="85"/>
        <v>3.2444444444444449E-2</v>
      </c>
    </row>
    <row r="1239" spans="1:7">
      <c r="A1239" s="1">
        <v>20150611</v>
      </c>
      <c r="B1239" s="1">
        <v>11</v>
      </c>
      <c r="C1239" s="2">
        <f t="shared" si="87"/>
        <v>0.58400000000000007</v>
      </c>
      <c r="D1239">
        <f t="shared" si="86"/>
        <v>0.88400000000000001</v>
      </c>
      <c r="E1239" s="3">
        <v>3.9</v>
      </c>
      <c r="F1239">
        <f t="shared" si="84"/>
        <v>0.58400000000000007</v>
      </c>
      <c r="G1239">
        <f t="shared" si="85"/>
        <v>5.3090909090909098E-2</v>
      </c>
    </row>
    <row r="1240" spans="1:7">
      <c r="A1240" s="1">
        <v>20150611</v>
      </c>
      <c r="B1240" s="1">
        <v>19</v>
      </c>
      <c r="C1240" s="2">
        <f t="shared" si="87"/>
        <v>0.58400000000000007</v>
      </c>
      <c r="D1240">
        <f t="shared" si="86"/>
        <v>0.88400000000000001</v>
      </c>
      <c r="E1240" s="3">
        <v>3.9</v>
      </c>
      <c r="F1240">
        <f t="shared" si="84"/>
        <v>0.58400000000000007</v>
      </c>
      <c r="G1240">
        <f t="shared" si="85"/>
        <v>3.0736842105263163E-2</v>
      </c>
    </row>
    <row r="1241" spans="1:7">
      <c r="A1241" s="1">
        <v>20150611</v>
      </c>
      <c r="B1241" s="1">
        <v>2</v>
      </c>
      <c r="C1241" s="2">
        <f t="shared" si="87"/>
        <v>0.58400000000000007</v>
      </c>
      <c r="D1241">
        <f t="shared" si="86"/>
        <v>0.88400000000000001</v>
      </c>
      <c r="E1241" s="3">
        <v>3.9</v>
      </c>
      <c r="F1241">
        <f t="shared" si="84"/>
        <v>0.58400000000000007</v>
      </c>
      <c r="G1241">
        <f t="shared" si="85"/>
        <v>0.29200000000000004</v>
      </c>
    </row>
    <row r="1242" spans="1:7">
      <c r="A1242" s="1">
        <v>20150611</v>
      </c>
      <c r="B1242" s="1">
        <v>12</v>
      </c>
      <c r="C1242" s="2">
        <f t="shared" si="87"/>
        <v>0.53866666666666685</v>
      </c>
      <c r="D1242">
        <f t="shared" si="86"/>
        <v>0.83866666666666678</v>
      </c>
      <c r="E1242" s="3">
        <v>3.7</v>
      </c>
      <c r="F1242">
        <f t="shared" si="84"/>
        <v>0.53866666666666685</v>
      </c>
      <c r="G1242">
        <f t="shared" si="85"/>
        <v>4.4888888888888902E-2</v>
      </c>
    </row>
    <row r="1243" spans="1:7">
      <c r="A1243" s="1">
        <v>20150611</v>
      </c>
      <c r="B1243" s="1">
        <v>4</v>
      </c>
      <c r="C1243" s="2">
        <f t="shared" si="87"/>
        <v>0.53866666666666685</v>
      </c>
      <c r="D1243">
        <f t="shared" si="86"/>
        <v>0.83866666666666678</v>
      </c>
      <c r="E1243" s="3">
        <v>3.7</v>
      </c>
      <c r="F1243">
        <f t="shared" si="84"/>
        <v>0.53866666666666685</v>
      </c>
      <c r="G1243">
        <f t="shared" si="85"/>
        <v>0.13466666666666671</v>
      </c>
    </row>
    <row r="1244" spans="1:7">
      <c r="A1244" s="1">
        <v>20150611</v>
      </c>
      <c r="B1244" s="1">
        <v>5</v>
      </c>
      <c r="C1244" s="2">
        <f t="shared" si="87"/>
        <v>0.53866666666666685</v>
      </c>
      <c r="D1244">
        <f t="shared" si="86"/>
        <v>0.83866666666666678</v>
      </c>
      <c r="E1244" s="3">
        <v>3.7</v>
      </c>
      <c r="F1244">
        <f t="shared" si="84"/>
        <v>0.53866666666666685</v>
      </c>
      <c r="G1244">
        <f t="shared" si="85"/>
        <v>0.10773333333333338</v>
      </c>
    </row>
    <row r="1245" spans="1:7">
      <c r="A1245" s="1">
        <v>20150611</v>
      </c>
      <c r="B1245" s="1">
        <v>18</v>
      </c>
      <c r="C1245" s="2">
        <f t="shared" si="87"/>
        <v>0.53866666666666685</v>
      </c>
      <c r="D1245">
        <f t="shared" si="86"/>
        <v>0.83866666666666678</v>
      </c>
      <c r="E1245" s="3">
        <v>3.7</v>
      </c>
      <c r="F1245">
        <f t="shared" si="84"/>
        <v>0.53866666666666685</v>
      </c>
      <c r="G1245">
        <f t="shared" si="85"/>
        <v>2.9925925925925936E-2</v>
      </c>
    </row>
    <row r="1246" spans="1:7">
      <c r="A1246" s="1">
        <v>20150611</v>
      </c>
      <c r="B1246" s="1">
        <v>5</v>
      </c>
      <c r="C1246" s="2">
        <f t="shared" si="87"/>
        <v>0.53866666666666685</v>
      </c>
      <c r="D1246">
        <f t="shared" si="86"/>
        <v>0.83866666666666678</v>
      </c>
      <c r="E1246" s="3">
        <v>3.7</v>
      </c>
      <c r="F1246">
        <f t="shared" si="84"/>
        <v>0.53866666666666685</v>
      </c>
      <c r="G1246">
        <f t="shared" si="85"/>
        <v>0.10773333333333338</v>
      </c>
    </row>
    <row r="1247" spans="1:7">
      <c r="A1247" s="1">
        <v>20150611</v>
      </c>
      <c r="B1247" s="1">
        <v>18</v>
      </c>
      <c r="C1247" s="2">
        <f t="shared" si="87"/>
        <v>0.56133333333333346</v>
      </c>
      <c r="D1247">
        <f t="shared" si="86"/>
        <v>0.8613333333333334</v>
      </c>
      <c r="E1247" s="3">
        <v>3.8</v>
      </c>
      <c r="F1247">
        <f t="shared" si="84"/>
        <v>0.56133333333333346</v>
      </c>
      <c r="G1247">
        <f t="shared" si="85"/>
        <v>3.1185185185185191E-2</v>
      </c>
    </row>
    <row r="1248" spans="1:7">
      <c r="A1248" s="1">
        <v>20150611</v>
      </c>
      <c r="B1248" s="1">
        <v>35</v>
      </c>
      <c r="C1248" s="2">
        <f t="shared" si="87"/>
        <v>0.56133333333333346</v>
      </c>
      <c r="D1248">
        <f t="shared" si="86"/>
        <v>0.8613333333333334</v>
      </c>
      <c r="E1248" s="3">
        <v>3.8</v>
      </c>
      <c r="F1248">
        <f t="shared" si="84"/>
        <v>0.56133333333333346</v>
      </c>
      <c r="G1248">
        <f t="shared" si="85"/>
        <v>1.603809523809524E-2</v>
      </c>
    </row>
    <row r="1249" spans="1:7">
      <c r="A1249" s="1">
        <v>20150611</v>
      </c>
      <c r="B1249" s="1">
        <v>39</v>
      </c>
      <c r="C1249" s="2">
        <f t="shared" si="87"/>
        <v>0.56133333333333346</v>
      </c>
      <c r="D1249">
        <f t="shared" si="86"/>
        <v>0.8613333333333334</v>
      </c>
      <c r="E1249" s="3">
        <v>3.8</v>
      </c>
      <c r="F1249">
        <f t="shared" si="84"/>
        <v>0.56133333333333346</v>
      </c>
      <c r="G1249">
        <f t="shared" si="85"/>
        <v>1.4393162393162396E-2</v>
      </c>
    </row>
    <row r="1250" spans="1:7">
      <c r="A1250" s="1">
        <v>20150611</v>
      </c>
      <c r="B1250" s="1">
        <v>31</v>
      </c>
      <c r="C1250" s="2">
        <f t="shared" si="87"/>
        <v>0.56133333333333346</v>
      </c>
      <c r="D1250">
        <f t="shared" si="86"/>
        <v>0.8613333333333334</v>
      </c>
      <c r="E1250" s="3">
        <v>3.8</v>
      </c>
      <c r="F1250">
        <f t="shared" si="84"/>
        <v>0.56133333333333346</v>
      </c>
      <c r="G1250">
        <f t="shared" si="85"/>
        <v>1.8107526881720435E-2</v>
      </c>
    </row>
    <row r="1251" spans="1:7">
      <c r="A1251" s="1">
        <v>20150611</v>
      </c>
      <c r="B1251" s="1">
        <v>30</v>
      </c>
      <c r="C1251" s="2">
        <f t="shared" si="87"/>
        <v>0.56133333333333346</v>
      </c>
      <c r="D1251">
        <f t="shared" si="86"/>
        <v>0.8613333333333334</v>
      </c>
      <c r="E1251" s="3">
        <v>3.8</v>
      </c>
      <c r="F1251">
        <f t="shared" si="84"/>
        <v>0.56133333333333346</v>
      </c>
      <c r="G1251">
        <f t="shared" si="85"/>
        <v>1.8711111111111116E-2</v>
      </c>
    </row>
    <row r="1252" spans="1:7">
      <c r="A1252" s="1">
        <v>20150611</v>
      </c>
      <c r="B1252" s="1">
        <v>37</v>
      </c>
      <c r="C1252" s="2">
        <f t="shared" si="87"/>
        <v>1.0146666666666666</v>
      </c>
      <c r="D1252">
        <f t="shared" si="86"/>
        <v>1.3146666666666667</v>
      </c>
      <c r="E1252" s="3">
        <v>5.8</v>
      </c>
      <c r="F1252">
        <f t="shared" si="84"/>
        <v>1.0146666666666666</v>
      </c>
      <c r="G1252">
        <f t="shared" si="85"/>
        <v>2.742342342342342E-2</v>
      </c>
    </row>
    <row r="1253" spans="1:7">
      <c r="A1253" s="1">
        <v>20150611</v>
      </c>
      <c r="B1253" s="1">
        <v>41</v>
      </c>
      <c r="C1253" s="2">
        <f t="shared" si="87"/>
        <v>1.0146666666666666</v>
      </c>
      <c r="D1253">
        <f t="shared" si="86"/>
        <v>1.3146666666666667</v>
      </c>
      <c r="E1253" s="3">
        <v>5.8</v>
      </c>
      <c r="F1253">
        <f t="shared" si="84"/>
        <v>1.0146666666666666</v>
      </c>
      <c r="G1253">
        <f t="shared" si="85"/>
        <v>2.4747967479674796E-2</v>
      </c>
    </row>
    <row r="1254" spans="1:7">
      <c r="A1254" s="1">
        <v>20150611</v>
      </c>
      <c r="B1254" s="1">
        <v>25</v>
      </c>
      <c r="C1254" s="2">
        <f t="shared" si="87"/>
        <v>1.0146666666666666</v>
      </c>
      <c r="D1254">
        <f t="shared" si="86"/>
        <v>1.3146666666666667</v>
      </c>
      <c r="E1254" s="3">
        <v>5.8</v>
      </c>
      <c r="F1254">
        <f t="shared" si="84"/>
        <v>1.0146666666666666</v>
      </c>
      <c r="G1254">
        <f t="shared" si="85"/>
        <v>4.0586666666666667E-2</v>
      </c>
    </row>
    <row r="1255" spans="1:7">
      <c r="A1255" s="1">
        <v>20150611</v>
      </c>
      <c r="B1255" s="1">
        <v>10</v>
      </c>
      <c r="C1255" s="2">
        <f t="shared" si="87"/>
        <v>1.0146666666666666</v>
      </c>
      <c r="D1255">
        <f t="shared" si="86"/>
        <v>1.3146666666666667</v>
      </c>
      <c r="E1255" s="3">
        <v>5.8</v>
      </c>
      <c r="F1255">
        <f t="shared" si="84"/>
        <v>1.0146666666666666</v>
      </c>
      <c r="G1255">
        <f t="shared" si="85"/>
        <v>0.10146666666666666</v>
      </c>
    </row>
    <row r="1256" spans="1:7">
      <c r="A1256" s="1">
        <v>20150611</v>
      </c>
      <c r="B1256" s="1">
        <v>65</v>
      </c>
      <c r="C1256" s="2">
        <f t="shared" si="87"/>
        <v>1.0146666666666666</v>
      </c>
      <c r="D1256">
        <f t="shared" si="86"/>
        <v>1.3146666666666667</v>
      </c>
      <c r="E1256" s="3">
        <v>5.8</v>
      </c>
      <c r="F1256">
        <f t="shared" si="84"/>
        <v>1.0146666666666666</v>
      </c>
      <c r="G1256">
        <f t="shared" si="85"/>
        <v>1.561025641025641E-2</v>
      </c>
    </row>
    <row r="1257" spans="1:7">
      <c r="A1257" s="1">
        <v>20150611</v>
      </c>
      <c r="B1257" s="1">
        <v>29</v>
      </c>
      <c r="C1257" s="2">
        <f t="shared" si="87"/>
        <v>0.90133333333333332</v>
      </c>
      <c r="D1257">
        <f t="shared" si="86"/>
        <v>1.2013333333333334</v>
      </c>
      <c r="E1257" s="3">
        <v>5.3</v>
      </c>
      <c r="F1257">
        <f t="shared" ref="F1257:F1320" si="88">C1257</f>
        <v>0.90133333333333332</v>
      </c>
      <c r="G1257">
        <f t="shared" ref="G1257:G1320" si="89">F1257/B1257</f>
        <v>3.1080459770114942E-2</v>
      </c>
    </row>
    <row r="1258" spans="1:7">
      <c r="A1258" s="1">
        <v>20150611</v>
      </c>
      <c r="B1258" s="1">
        <v>54</v>
      </c>
      <c r="C1258" s="2">
        <f t="shared" si="87"/>
        <v>0.90133333333333332</v>
      </c>
      <c r="D1258">
        <f t="shared" si="86"/>
        <v>1.2013333333333334</v>
      </c>
      <c r="E1258" s="3">
        <v>5.3</v>
      </c>
      <c r="F1258">
        <f t="shared" si="88"/>
        <v>0.90133333333333332</v>
      </c>
      <c r="G1258">
        <f t="shared" si="89"/>
        <v>1.6691358024691356E-2</v>
      </c>
    </row>
    <row r="1259" spans="1:7">
      <c r="A1259" s="1">
        <v>20150611</v>
      </c>
      <c r="B1259" s="1">
        <v>33</v>
      </c>
      <c r="C1259" s="2">
        <f t="shared" si="87"/>
        <v>0.90133333333333332</v>
      </c>
      <c r="D1259">
        <f t="shared" si="86"/>
        <v>1.2013333333333334</v>
      </c>
      <c r="E1259" s="3">
        <v>5.3</v>
      </c>
      <c r="F1259">
        <f t="shared" si="88"/>
        <v>0.90133333333333332</v>
      </c>
      <c r="G1259">
        <f t="shared" si="89"/>
        <v>2.7313131313131313E-2</v>
      </c>
    </row>
    <row r="1260" spans="1:7">
      <c r="A1260" s="1">
        <v>20150611</v>
      </c>
      <c r="B1260" s="1">
        <v>34</v>
      </c>
      <c r="C1260" s="2">
        <f t="shared" si="87"/>
        <v>0.90133333333333332</v>
      </c>
      <c r="D1260">
        <f t="shared" si="86"/>
        <v>1.2013333333333334</v>
      </c>
      <c r="E1260" s="3">
        <v>5.3</v>
      </c>
      <c r="F1260">
        <f t="shared" si="88"/>
        <v>0.90133333333333332</v>
      </c>
      <c r="G1260">
        <f t="shared" si="89"/>
        <v>2.6509803921568625E-2</v>
      </c>
    </row>
    <row r="1261" spans="1:7">
      <c r="A1261" s="1">
        <v>20150611</v>
      </c>
      <c r="B1261" s="1">
        <v>35</v>
      </c>
      <c r="C1261" s="2">
        <f t="shared" si="87"/>
        <v>0.90133333333333332</v>
      </c>
      <c r="D1261">
        <f t="shared" si="86"/>
        <v>1.2013333333333334</v>
      </c>
      <c r="E1261" s="3">
        <v>5.3</v>
      </c>
      <c r="F1261">
        <f t="shared" si="88"/>
        <v>0.90133333333333332</v>
      </c>
      <c r="G1261">
        <f t="shared" si="89"/>
        <v>2.5752380952380954E-2</v>
      </c>
    </row>
    <row r="1262" spans="1:7">
      <c r="A1262" s="1">
        <v>20150611</v>
      </c>
      <c r="B1262" s="1">
        <v>68</v>
      </c>
      <c r="C1262" s="2">
        <f t="shared" si="87"/>
        <v>0.67466666666666675</v>
      </c>
      <c r="D1262">
        <f t="shared" si="86"/>
        <v>0.97466666666666668</v>
      </c>
      <c r="E1262" s="3">
        <v>4.3</v>
      </c>
      <c r="F1262">
        <f t="shared" si="88"/>
        <v>0.67466666666666675</v>
      </c>
      <c r="G1262">
        <f t="shared" si="89"/>
        <v>9.9215686274509822E-3</v>
      </c>
    </row>
    <row r="1263" spans="1:7">
      <c r="A1263" s="1">
        <v>20150611</v>
      </c>
      <c r="B1263" s="1">
        <v>36</v>
      </c>
      <c r="C1263" s="2">
        <f t="shared" si="87"/>
        <v>0.67466666666666675</v>
      </c>
      <c r="D1263">
        <f t="shared" si="86"/>
        <v>0.97466666666666668</v>
      </c>
      <c r="E1263" s="3">
        <v>4.3</v>
      </c>
      <c r="F1263">
        <f t="shared" si="88"/>
        <v>0.67466666666666675</v>
      </c>
      <c r="G1263">
        <f t="shared" si="89"/>
        <v>1.8740740740740742E-2</v>
      </c>
    </row>
    <row r="1264" spans="1:7">
      <c r="A1264" s="1">
        <v>20150611</v>
      </c>
      <c r="B1264" s="1">
        <v>18</v>
      </c>
      <c r="C1264" s="2">
        <f t="shared" si="87"/>
        <v>0.67466666666666675</v>
      </c>
      <c r="D1264">
        <f t="shared" si="86"/>
        <v>0.97466666666666668</v>
      </c>
      <c r="E1264" s="3">
        <v>4.3</v>
      </c>
      <c r="F1264">
        <f t="shared" si="88"/>
        <v>0.67466666666666675</v>
      </c>
      <c r="G1264">
        <f t="shared" si="89"/>
        <v>3.7481481481481484E-2</v>
      </c>
    </row>
    <row r="1265" spans="1:7">
      <c r="A1265" s="1">
        <v>20150611</v>
      </c>
      <c r="B1265" s="1">
        <v>18</v>
      </c>
      <c r="C1265" s="2">
        <f t="shared" si="87"/>
        <v>0.67466666666666675</v>
      </c>
      <c r="D1265">
        <f t="shared" si="86"/>
        <v>0.97466666666666668</v>
      </c>
      <c r="E1265" s="3">
        <v>4.3</v>
      </c>
      <c r="F1265">
        <f t="shared" si="88"/>
        <v>0.67466666666666675</v>
      </c>
      <c r="G1265">
        <f t="shared" si="89"/>
        <v>3.7481481481481484E-2</v>
      </c>
    </row>
    <row r="1266" spans="1:7">
      <c r="A1266" s="1">
        <v>20150611</v>
      </c>
      <c r="B1266" s="1">
        <v>7</v>
      </c>
      <c r="C1266" s="2">
        <f t="shared" si="87"/>
        <v>0.67466666666666675</v>
      </c>
      <c r="D1266">
        <f t="shared" ref="D1266:D1329" si="90">0.17*($H$3/12)*E1266</f>
        <v>0.97466666666666668</v>
      </c>
      <c r="E1266" s="3">
        <v>4.3</v>
      </c>
      <c r="F1266">
        <f t="shared" si="88"/>
        <v>0.67466666666666675</v>
      </c>
      <c r="G1266">
        <f t="shared" si="89"/>
        <v>9.6380952380952387E-2</v>
      </c>
    </row>
    <row r="1267" spans="1:7">
      <c r="A1267" s="1">
        <v>20150611</v>
      </c>
      <c r="B1267" s="1">
        <v>20</v>
      </c>
      <c r="C1267" s="2">
        <f t="shared" si="87"/>
        <v>0.58400000000000007</v>
      </c>
      <c r="D1267">
        <f t="shared" si="90"/>
        <v>0.88400000000000001</v>
      </c>
      <c r="E1267" s="3">
        <v>3.9</v>
      </c>
      <c r="F1267">
        <f t="shared" si="88"/>
        <v>0.58400000000000007</v>
      </c>
      <c r="G1267">
        <f t="shared" si="89"/>
        <v>2.9200000000000004E-2</v>
      </c>
    </row>
    <row r="1268" spans="1:7">
      <c r="A1268" s="1">
        <v>20150611</v>
      </c>
      <c r="B1268" s="1">
        <v>44</v>
      </c>
      <c r="C1268" s="2">
        <f t="shared" ref="C1268:C1331" si="91">D1268-$S$46</f>
        <v>0.58400000000000007</v>
      </c>
      <c r="D1268">
        <f t="shared" si="90"/>
        <v>0.88400000000000001</v>
      </c>
      <c r="E1268" s="3">
        <v>3.9</v>
      </c>
      <c r="F1268">
        <f t="shared" si="88"/>
        <v>0.58400000000000007</v>
      </c>
      <c r="G1268">
        <f t="shared" si="89"/>
        <v>1.3272727272727275E-2</v>
      </c>
    </row>
    <row r="1269" spans="1:7">
      <c r="A1269" s="1">
        <v>20150611</v>
      </c>
      <c r="B1269" s="1">
        <v>26</v>
      </c>
      <c r="C1269" s="2">
        <f t="shared" si="91"/>
        <v>0.58400000000000007</v>
      </c>
      <c r="D1269">
        <f t="shared" si="90"/>
        <v>0.88400000000000001</v>
      </c>
      <c r="E1269" s="3">
        <v>3.9</v>
      </c>
      <c r="F1269">
        <f t="shared" si="88"/>
        <v>0.58400000000000007</v>
      </c>
      <c r="G1269">
        <f t="shared" si="89"/>
        <v>2.2461538461538463E-2</v>
      </c>
    </row>
    <row r="1270" spans="1:7">
      <c r="A1270" s="1">
        <v>20150611</v>
      </c>
      <c r="B1270" s="1">
        <v>28</v>
      </c>
      <c r="C1270" s="2">
        <f t="shared" si="91"/>
        <v>0.58400000000000007</v>
      </c>
      <c r="D1270">
        <f t="shared" si="90"/>
        <v>0.88400000000000001</v>
      </c>
      <c r="E1270" s="3">
        <v>3.9</v>
      </c>
      <c r="F1270">
        <f t="shared" si="88"/>
        <v>0.58400000000000007</v>
      </c>
      <c r="G1270">
        <f t="shared" si="89"/>
        <v>2.0857142857142859E-2</v>
      </c>
    </row>
    <row r="1271" spans="1:7">
      <c r="A1271" s="1">
        <v>20150611</v>
      </c>
      <c r="B1271" s="1">
        <v>24</v>
      </c>
      <c r="C1271" s="2">
        <f t="shared" si="91"/>
        <v>0.58400000000000007</v>
      </c>
      <c r="D1271">
        <f t="shared" si="90"/>
        <v>0.88400000000000001</v>
      </c>
      <c r="E1271" s="3">
        <v>3.9</v>
      </c>
      <c r="F1271">
        <f t="shared" si="88"/>
        <v>0.58400000000000007</v>
      </c>
      <c r="G1271">
        <f t="shared" si="89"/>
        <v>2.4333333333333335E-2</v>
      </c>
    </row>
    <row r="1272" spans="1:7">
      <c r="A1272" s="1">
        <v>20150611</v>
      </c>
      <c r="B1272" s="1">
        <v>46</v>
      </c>
      <c r="C1272" s="2">
        <f t="shared" si="91"/>
        <v>0.53866666666666685</v>
      </c>
      <c r="D1272">
        <f t="shared" si="90"/>
        <v>0.83866666666666678</v>
      </c>
      <c r="E1272" s="3">
        <v>3.7</v>
      </c>
      <c r="F1272">
        <f t="shared" si="88"/>
        <v>0.53866666666666685</v>
      </c>
      <c r="G1272">
        <f t="shared" si="89"/>
        <v>1.1710144927536236E-2</v>
      </c>
    </row>
    <row r="1273" spans="1:7">
      <c r="A1273" s="1">
        <v>20150611</v>
      </c>
      <c r="B1273" s="1">
        <v>35</v>
      </c>
      <c r="C1273" s="2">
        <f t="shared" si="91"/>
        <v>0.53866666666666685</v>
      </c>
      <c r="D1273">
        <f t="shared" si="90"/>
        <v>0.83866666666666678</v>
      </c>
      <c r="E1273" s="3">
        <v>3.7</v>
      </c>
      <c r="F1273">
        <f t="shared" si="88"/>
        <v>0.53866666666666685</v>
      </c>
      <c r="G1273">
        <f t="shared" si="89"/>
        <v>1.5390476190476196E-2</v>
      </c>
    </row>
    <row r="1274" spans="1:7">
      <c r="A1274" s="1">
        <v>20150611</v>
      </c>
      <c r="B1274" s="1">
        <v>26</v>
      </c>
      <c r="C1274" s="2">
        <f t="shared" si="91"/>
        <v>0.53866666666666685</v>
      </c>
      <c r="D1274">
        <f t="shared" si="90"/>
        <v>0.83866666666666678</v>
      </c>
      <c r="E1274" s="3">
        <v>3.7</v>
      </c>
      <c r="F1274">
        <f t="shared" si="88"/>
        <v>0.53866666666666685</v>
      </c>
      <c r="G1274">
        <f t="shared" si="89"/>
        <v>2.0717948717948725E-2</v>
      </c>
    </row>
    <row r="1275" spans="1:7">
      <c r="A1275" s="1">
        <v>20150611</v>
      </c>
      <c r="B1275" s="1">
        <v>17</v>
      </c>
      <c r="C1275" s="2">
        <f t="shared" si="91"/>
        <v>0.53866666666666685</v>
      </c>
      <c r="D1275">
        <f t="shared" si="90"/>
        <v>0.83866666666666678</v>
      </c>
      <c r="E1275" s="3">
        <v>3.7</v>
      </c>
      <c r="F1275">
        <f t="shared" si="88"/>
        <v>0.53866666666666685</v>
      </c>
      <c r="G1275">
        <f t="shared" si="89"/>
        <v>3.1686274509803936E-2</v>
      </c>
    </row>
    <row r="1276" spans="1:7">
      <c r="A1276" s="1">
        <v>20150611</v>
      </c>
      <c r="B1276" s="1">
        <v>54</v>
      </c>
      <c r="C1276" s="2">
        <f t="shared" si="91"/>
        <v>0.53866666666666685</v>
      </c>
      <c r="D1276">
        <f t="shared" si="90"/>
        <v>0.83866666666666678</v>
      </c>
      <c r="E1276" s="3">
        <v>3.7</v>
      </c>
      <c r="F1276">
        <f t="shared" si="88"/>
        <v>0.53866666666666685</v>
      </c>
      <c r="G1276">
        <f t="shared" si="89"/>
        <v>9.9753086419753119E-3</v>
      </c>
    </row>
    <row r="1277" spans="1:7">
      <c r="A1277" s="1">
        <v>20150611</v>
      </c>
      <c r="B1277" s="1">
        <v>41</v>
      </c>
      <c r="C1277" s="2">
        <f t="shared" si="91"/>
        <v>0.56133333333333346</v>
      </c>
      <c r="D1277">
        <f t="shared" si="90"/>
        <v>0.8613333333333334</v>
      </c>
      <c r="E1277" s="3">
        <v>3.8</v>
      </c>
      <c r="F1277">
        <f t="shared" si="88"/>
        <v>0.56133333333333346</v>
      </c>
      <c r="G1277">
        <f t="shared" si="89"/>
        <v>1.3691056910569108E-2</v>
      </c>
    </row>
    <row r="1278" spans="1:7">
      <c r="A1278" s="1">
        <v>20150611</v>
      </c>
      <c r="B1278" s="1">
        <v>34</v>
      </c>
      <c r="C1278" s="2">
        <f t="shared" si="91"/>
        <v>0.56133333333333346</v>
      </c>
      <c r="D1278">
        <f t="shared" si="90"/>
        <v>0.8613333333333334</v>
      </c>
      <c r="E1278" s="3">
        <v>3.8</v>
      </c>
      <c r="F1278">
        <f t="shared" si="88"/>
        <v>0.56133333333333346</v>
      </c>
      <c r="G1278">
        <f t="shared" si="89"/>
        <v>1.650980392156863E-2</v>
      </c>
    </row>
    <row r="1279" spans="1:7">
      <c r="A1279" s="1">
        <v>20150611</v>
      </c>
      <c r="B1279" s="1">
        <v>37</v>
      </c>
      <c r="C1279" s="2">
        <f t="shared" si="91"/>
        <v>0.56133333333333346</v>
      </c>
      <c r="D1279">
        <f t="shared" si="90"/>
        <v>0.8613333333333334</v>
      </c>
      <c r="E1279" s="3">
        <v>3.8</v>
      </c>
      <c r="F1279">
        <f t="shared" si="88"/>
        <v>0.56133333333333346</v>
      </c>
      <c r="G1279">
        <f t="shared" si="89"/>
        <v>1.5171171171171175E-2</v>
      </c>
    </row>
    <row r="1280" spans="1:7">
      <c r="A1280" s="1">
        <v>20150611</v>
      </c>
      <c r="B1280" s="1">
        <v>39</v>
      </c>
      <c r="C1280" s="2">
        <f t="shared" si="91"/>
        <v>0.56133333333333346</v>
      </c>
      <c r="D1280">
        <f t="shared" si="90"/>
        <v>0.8613333333333334</v>
      </c>
      <c r="E1280" s="3">
        <v>3.8</v>
      </c>
      <c r="F1280">
        <f t="shared" si="88"/>
        <v>0.56133333333333346</v>
      </c>
      <c r="G1280">
        <f t="shared" si="89"/>
        <v>1.4393162393162396E-2</v>
      </c>
    </row>
    <row r="1281" spans="1:7">
      <c r="A1281" s="1">
        <v>20150611</v>
      </c>
      <c r="B1281" s="1">
        <v>26</v>
      </c>
      <c r="C1281" s="2">
        <f t="shared" si="91"/>
        <v>0.56133333333333346</v>
      </c>
      <c r="D1281">
        <f t="shared" si="90"/>
        <v>0.8613333333333334</v>
      </c>
      <c r="E1281" s="3">
        <v>3.8</v>
      </c>
      <c r="F1281">
        <f t="shared" si="88"/>
        <v>0.56133333333333346</v>
      </c>
      <c r="G1281">
        <f t="shared" si="89"/>
        <v>2.1589743589743596E-2</v>
      </c>
    </row>
    <row r="1282" spans="1:7">
      <c r="A1282" s="1">
        <v>20150611</v>
      </c>
      <c r="B1282" s="1">
        <v>70</v>
      </c>
      <c r="C1282" s="2">
        <f t="shared" si="91"/>
        <v>1.0146666666666666</v>
      </c>
      <c r="D1282">
        <f t="shared" si="90"/>
        <v>1.3146666666666667</v>
      </c>
      <c r="E1282" s="3">
        <v>5.8</v>
      </c>
      <c r="F1282">
        <f t="shared" si="88"/>
        <v>1.0146666666666666</v>
      </c>
      <c r="G1282">
        <f t="shared" si="89"/>
        <v>1.4495238095238094E-2</v>
      </c>
    </row>
    <row r="1283" spans="1:7">
      <c r="A1283" s="1">
        <v>20150611</v>
      </c>
      <c r="B1283" s="1">
        <v>42</v>
      </c>
      <c r="C1283" s="2">
        <f t="shared" si="91"/>
        <v>1.0146666666666666</v>
      </c>
      <c r="D1283">
        <f t="shared" si="90"/>
        <v>1.3146666666666667</v>
      </c>
      <c r="E1283" s="3">
        <v>5.8</v>
      </c>
      <c r="F1283">
        <f t="shared" si="88"/>
        <v>1.0146666666666666</v>
      </c>
      <c r="G1283">
        <f t="shared" si="89"/>
        <v>2.4158730158730157E-2</v>
      </c>
    </row>
    <row r="1284" spans="1:7">
      <c r="A1284" s="1">
        <v>20150611</v>
      </c>
      <c r="B1284" s="1">
        <v>44</v>
      </c>
      <c r="C1284" s="2">
        <f t="shared" si="91"/>
        <v>1.0146666666666666</v>
      </c>
      <c r="D1284">
        <f t="shared" si="90"/>
        <v>1.3146666666666667</v>
      </c>
      <c r="E1284" s="3">
        <v>5.8</v>
      </c>
      <c r="F1284">
        <f t="shared" si="88"/>
        <v>1.0146666666666666</v>
      </c>
      <c r="G1284">
        <f t="shared" si="89"/>
        <v>2.3060606060606059E-2</v>
      </c>
    </row>
    <row r="1285" spans="1:7">
      <c r="A1285" s="1">
        <v>20150611</v>
      </c>
      <c r="B1285" s="1">
        <v>50</v>
      </c>
      <c r="C1285" s="2">
        <f t="shared" si="91"/>
        <v>1.0146666666666666</v>
      </c>
      <c r="D1285">
        <f t="shared" si="90"/>
        <v>1.3146666666666667</v>
      </c>
      <c r="E1285" s="3">
        <v>5.8</v>
      </c>
      <c r="F1285">
        <f t="shared" si="88"/>
        <v>1.0146666666666666</v>
      </c>
      <c r="G1285">
        <f t="shared" si="89"/>
        <v>2.0293333333333333E-2</v>
      </c>
    </row>
    <row r="1286" spans="1:7">
      <c r="A1286" s="1">
        <v>20150611</v>
      </c>
      <c r="B1286" s="1">
        <v>54</v>
      </c>
      <c r="C1286" s="2">
        <f t="shared" si="91"/>
        <v>1.0146666666666666</v>
      </c>
      <c r="D1286">
        <f t="shared" si="90"/>
        <v>1.3146666666666667</v>
      </c>
      <c r="E1286" s="3">
        <v>5.8</v>
      </c>
      <c r="F1286">
        <f t="shared" si="88"/>
        <v>1.0146666666666666</v>
      </c>
      <c r="G1286">
        <f t="shared" si="89"/>
        <v>1.8790123456790122E-2</v>
      </c>
    </row>
    <row r="1287" spans="1:7">
      <c r="A1287" s="1">
        <v>20150611</v>
      </c>
      <c r="B1287" s="1">
        <v>49</v>
      </c>
      <c r="C1287" s="2">
        <f t="shared" si="91"/>
        <v>0.90133333333333332</v>
      </c>
      <c r="D1287">
        <f t="shared" si="90"/>
        <v>1.2013333333333334</v>
      </c>
      <c r="E1287" s="3">
        <v>5.3</v>
      </c>
      <c r="F1287">
        <f t="shared" si="88"/>
        <v>0.90133333333333332</v>
      </c>
      <c r="G1287">
        <f t="shared" si="89"/>
        <v>1.8394557823129251E-2</v>
      </c>
    </row>
    <row r="1288" spans="1:7">
      <c r="A1288" s="1">
        <v>20150611</v>
      </c>
      <c r="B1288" s="1">
        <v>37</v>
      </c>
      <c r="C1288" s="2">
        <f t="shared" si="91"/>
        <v>0.90133333333333332</v>
      </c>
      <c r="D1288">
        <f t="shared" si="90"/>
        <v>1.2013333333333334</v>
      </c>
      <c r="E1288" s="3">
        <v>5.3</v>
      </c>
      <c r="F1288">
        <f t="shared" si="88"/>
        <v>0.90133333333333332</v>
      </c>
      <c r="G1288">
        <f t="shared" si="89"/>
        <v>2.4360360360360361E-2</v>
      </c>
    </row>
    <row r="1289" spans="1:7">
      <c r="A1289" s="1">
        <v>20150611</v>
      </c>
      <c r="B1289" s="1">
        <v>49</v>
      </c>
      <c r="C1289" s="2">
        <f t="shared" si="91"/>
        <v>0.90133333333333332</v>
      </c>
      <c r="D1289">
        <f t="shared" si="90"/>
        <v>1.2013333333333334</v>
      </c>
      <c r="E1289" s="3">
        <v>5.3</v>
      </c>
      <c r="F1289">
        <f t="shared" si="88"/>
        <v>0.90133333333333332</v>
      </c>
      <c r="G1289">
        <f t="shared" si="89"/>
        <v>1.8394557823129251E-2</v>
      </c>
    </row>
    <row r="1290" spans="1:7">
      <c r="A1290" s="1">
        <v>20150611</v>
      </c>
      <c r="B1290" s="1">
        <v>57</v>
      </c>
      <c r="C1290" s="2">
        <f t="shared" si="91"/>
        <v>0.90133333333333332</v>
      </c>
      <c r="D1290">
        <f t="shared" si="90"/>
        <v>1.2013333333333334</v>
      </c>
      <c r="E1290" s="3">
        <v>5.3</v>
      </c>
      <c r="F1290">
        <f t="shared" si="88"/>
        <v>0.90133333333333332</v>
      </c>
      <c r="G1290">
        <f t="shared" si="89"/>
        <v>1.5812865497076022E-2</v>
      </c>
    </row>
    <row r="1291" spans="1:7">
      <c r="A1291" s="1">
        <v>20150611</v>
      </c>
      <c r="B1291" s="1">
        <v>34</v>
      </c>
      <c r="C1291" s="2">
        <f t="shared" si="91"/>
        <v>0.90133333333333332</v>
      </c>
      <c r="D1291">
        <f t="shared" si="90"/>
        <v>1.2013333333333334</v>
      </c>
      <c r="E1291" s="3">
        <v>5.3</v>
      </c>
      <c r="F1291">
        <f t="shared" si="88"/>
        <v>0.90133333333333332</v>
      </c>
      <c r="G1291">
        <f t="shared" si="89"/>
        <v>2.6509803921568625E-2</v>
      </c>
    </row>
    <row r="1292" spans="1:7">
      <c r="A1292" s="1">
        <v>20150611</v>
      </c>
      <c r="B1292" s="1">
        <v>18</v>
      </c>
      <c r="C1292" s="2">
        <f t="shared" si="91"/>
        <v>0.67466666666666675</v>
      </c>
      <c r="D1292">
        <f t="shared" si="90"/>
        <v>0.97466666666666668</v>
      </c>
      <c r="E1292" s="3">
        <v>4.3</v>
      </c>
      <c r="F1292">
        <f t="shared" si="88"/>
        <v>0.67466666666666675</v>
      </c>
      <c r="G1292">
        <f t="shared" si="89"/>
        <v>3.7481481481481484E-2</v>
      </c>
    </row>
    <row r="1293" spans="1:7">
      <c r="A1293" s="1">
        <v>20150611</v>
      </c>
      <c r="B1293" s="1">
        <v>29</v>
      </c>
      <c r="C1293" s="2">
        <f t="shared" si="91"/>
        <v>0.67466666666666675</v>
      </c>
      <c r="D1293">
        <f t="shared" si="90"/>
        <v>0.97466666666666668</v>
      </c>
      <c r="E1293" s="3">
        <v>4.3</v>
      </c>
      <c r="F1293">
        <f t="shared" si="88"/>
        <v>0.67466666666666675</v>
      </c>
      <c r="G1293">
        <f t="shared" si="89"/>
        <v>2.3264367816091956E-2</v>
      </c>
    </row>
    <row r="1294" spans="1:7">
      <c r="A1294" s="1">
        <v>20150611</v>
      </c>
      <c r="B1294" s="1">
        <v>42</v>
      </c>
      <c r="C1294" s="2">
        <f t="shared" si="91"/>
        <v>0.67466666666666675</v>
      </c>
      <c r="D1294">
        <f t="shared" si="90"/>
        <v>0.97466666666666668</v>
      </c>
      <c r="E1294" s="3">
        <v>4.3</v>
      </c>
      <c r="F1294">
        <f t="shared" si="88"/>
        <v>0.67466666666666675</v>
      </c>
      <c r="G1294">
        <f t="shared" si="89"/>
        <v>1.6063492063492064E-2</v>
      </c>
    </row>
    <row r="1295" spans="1:7">
      <c r="A1295" s="1">
        <v>20150611</v>
      </c>
      <c r="B1295" s="1">
        <v>50</v>
      </c>
      <c r="C1295" s="2">
        <f t="shared" si="91"/>
        <v>0.67466666666666675</v>
      </c>
      <c r="D1295">
        <f t="shared" si="90"/>
        <v>0.97466666666666668</v>
      </c>
      <c r="E1295" s="3">
        <v>4.3</v>
      </c>
      <c r="F1295">
        <f t="shared" si="88"/>
        <v>0.67466666666666675</v>
      </c>
      <c r="G1295">
        <f t="shared" si="89"/>
        <v>1.3493333333333335E-2</v>
      </c>
    </row>
    <row r="1296" spans="1:7">
      <c r="A1296" s="1">
        <v>20150611</v>
      </c>
      <c r="B1296" s="1">
        <v>84</v>
      </c>
      <c r="C1296" s="2">
        <f t="shared" si="91"/>
        <v>0.67466666666666675</v>
      </c>
      <c r="D1296">
        <f t="shared" si="90"/>
        <v>0.97466666666666668</v>
      </c>
      <c r="E1296" s="3">
        <v>4.3</v>
      </c>
      <c r="F1296">
        <f t="shared" si="88"/>
        <v>0.67466666666666675</v>
      </c>
      <c r="G1296">
        <f t="shared" si="89"/>
        <v>8.0317460317460322E-3</v>
      </c>
    </row>
    <row r="1297" spans="1:7">
      <c r="A1297" s="1">
        <v>20150611</v>
      </c>
      <c r="B1297" s="1">
        <v>3</v>
      </c>
      <c r="C1297" s="2">
        <f t="shared" si="91"/>
        <v>0.58400000000000007</v>
      </c>
      <c r="D1297">
        <f t="shared" si="90"/>
        <v>0.88400000000000001</v>
      </c>
      <c r="E1297" s="3">
        <v>3.9</v>
      </c>
      <c r="F1297">
        <f t="shared" si="88"/>
        <v>0.58400000000000007</v>
      </c>
      <c r="G1297">
        <f t="shared" si="89"/>
        <v>0.19466666666666668</v>
      </c>
    </row>
    <row r="1298" spans="1:7">
      <c r="A1298" s="1">
        <v>20150611</v>
      </c>
      <c r="B1298" s="1">
        <v>44</v>
      </c>
      <c r="C1298" s="2">
        <f t="shared" si="91"/>
        <v>0.58400000000000007</v>
      </c>
      <c r="D1298">
        <f t="shared" si="90"/>
        <v>0.88400000000000001</v>
      </c>
      <c r="E1298" s="3">
        <v>3.9</v>
      </c>
      <c r="F1298">
        <f t="shared" si="88"/>
        <v>0.58400000000000007</v>
      </c>
      <c r="G1298">
        <f t="shared" si="89"/>
        <v>1.3272727272727275E-2</v>
      </c>
    </row>
    <row r="1299" spans="1:7">
      <c r="A1299" s="1">
        <v>20150611</v>
      </c>
      <c r="B1299" s="1">
        <v>38</v>
      </c>
      <c r="C1299" s="2">
        <f t="shared" si="91"/>
        <v>0.58400000000000007</v>
      </c>
      <c r="D1299">
        <f t="shared" si="90"/>
        <v>0.88400000000000001</v>
      </c>
      <c r="E1299" s="3">
        <v>3.9</v>
      </c>
      <c r="F1299">
        <f t="shared" si="88"/>
        <v>0.58400000000000007</v>
      </c>
      <c r="G1299">
        <f t="shared" si="89"/>
        <v>1.5368421052631582E-2</v>
      </c>
    </row>
    <row r="1300" spans="1:7">
      <c r="A1300" s="1">
        <v>20150611</v>
      </c>
      <c r="B1300" s="1">
        <v>42</v>
      </c>
      <c r="C1300" s="2">
        <f t="shared" si="91"/>
        <v>0.58400000000000007</v>
      </c>
      <c r="D1300">
        <f t="shared" si="90"/>
        <v>0.88400000000000001</v>
      </c>
      <c r="E1300" s="3">
        <v>3.9</v>
      </c>
      <c r="F1300">
        <f t="shared" si="88"/>
        <v>0.58400000000000007</v>
      </c>
      <c r="G1300">
        <f t="shared" si="89"/>
        <v>1.3904761904761906E-2</v>
      </c>
    </row>
    <row r="1301" spans="1:7">
      <c r="A1301" s="1">
        <v>20150611</v>
      </c>
      <c r="B1301" s="1">
        <v>32</v>
      </c>
      <c r="C1301" s="2">
        <f t="shared" si="91"/>
        <v>0.58400000000000007</v>
      </c>
      <c r="D1301">
        <f t="shared" si="90"/>
        <v>0.88400000000000001</v>
      </c>
      <c r="E1301" s="3">
        <v>3.9</v>
      </c>
      <c r="F1301">
        <f t="shared" si="88"/>
        <v>0.58400000000000007</v>
      </c>
      <c r="G1301">
        <f t="shared" si="89"/>
        <v>1.8250000000000002E-2</v>
      </c>
    </row>
    <row r="1302" spans="1:7">
      <c r="A1302" s="1">
        <v>20150611</v>
      </c>
      <c r="B1302" s="1">
        <v>56</v>
      </c>
      <c r="C1302" s="2">
        <f t="shared" si="91"/>
        <v>0.53866666666666685</v>
      </c>
      <c r="D1302">
        <f t="shared" si="90"/>
        <v>0.83866666666666678</v>
      </c>
      <c r="E1302" s="3">
        <v>3.7</v>
      </c>
      <c r="F1302">
        <f t="shared" si="88"/>
        <v>0.53866666666666685</v>
      </c>
      <c r="G1302">
        <f t="shared" si="89"/>
        <v>9.6190476190476226E-3</v>
      </c>
    </row>
    <row r="1303" spans="1:7">
      <c r="A1303" s="1">
        <v>20150611</v>
      </c>
      <c r="B1303" s="1">
        <v>44</v>
      </c>
      <c r="C1303" s="2">
        <f t="shared" si="91"/>
        <v>0.53866666666666685</v>
      </c>
      <c r="D1303">
        <f t="shared" si="90"/>
        <v>0.83866666666666678</v>
      </c>
      <c r="E1303" s="3">
        <v>3.7</v>
      </c>
      <c r="F1303">
        <f t="shared" si="88"/>
        <v>0.53866666666666685</v>
      </c>
      <c r="G1303">
        <f t="shared" si="89"/>
        <v>1.2242424242424247E-2</v>
      </c>
    </row>
    <row r="1304" spans="1:7">
      <c r="A1304" s="1">
        <v>20150611</v>
      </c>
      <c r="B1304" s="1">
        <v>39</v>
      </c>
      <c r="C1304" s="2">
        <f t="shared" si="91"/>
        <v>0.53866666666666685</v>
      </c>
      <c r="D1304">
        <f t="shared" si="90"/>
        <v>0.83866666666666678</v>
      </c>
      <c r="E1304" s="3">
        <v>3.7</v>
      </c>
      <c r="F1304">
        <f t="shared" si="88"/>
        <v>0.53866666666666685</v>
      </c>
      <c r="G1304">
        <f t="shared" si="89"/>
        <v>1.3811965811965816E-2</v>
      </c>
    </row>
    <row r="1305" spans="1:7">
      <c r="A1305" s="1">
        <v>20150611</v>
      </c>
      <c r="B1305" s="1">
        <v>38</v>
      </c>
      <c r="C1305" s="2">
        <f t="shared" si="91"/>
        <v>0.53866666666666685</v>
      </c>
      <c r="D1305">
        <f t="shared" si="90"/>
        <v>0.83866666666666678</v>
      </c>
      <c r="E1305" s="3">
        <v>3.7</v>
      </c>
      <c r="F1305">
        <f t="shared" si="88"/>
        <v>0.53866666666666685</v>
      </c>
      <c r="G1305">
        <f t="shared" si="89"/>
        <v>1.4175438596491233E-2</v>
      </c>
    </row>
    <row r="1306" spans="1:7">
      <c r="A1306" s="1">
        <v>20150611</v>
      </c>
      <c r="B1306" s="1">
        <v>27</v>
      </c>
      <c r="C1306" s="2">
        <f t="shared" si="91"/>
        <v>0.53866666666666685</v>
      </c>
      <c r="D1306">
        <f t="shared" si="90"/>
        <v>0.83866666666666678</v>
      </c>
      <c r="E1306" s="3">
        <v>3.7</v>
      </c>
      <c r="F1306">
        <f t="shared" si="88"/>
        <v>0.53866666666666685</v>
      </c>
      <c r="G1306">
        <f t="shared" si="89"/>
        <v>1.9950617283950624E-2</v>
      </c>
    </row>
    <row r="1307" spans="1:7">
      <c r="A1307" s="1">
        <v>20150611</v>
      </c>
      <c r="B1307" s="1">
        <v>8</v>
      </c>
      <c r="C1307" s="2">
        <f t="shared" si="91"/>
        <v>1.0146666666666666</v>
      </c>
      <c r="D1307">
        <f t="shared" si="90"/>
        <v>1.3146666666666667</v>
      </c>
      <c r="E1307" s="3">
        <v>5.8</v>
      </c>
      <c r="F1307">
        <f t="shared" si="88"/>
        <v>1.0146666666666666</v>
      </c>
      <c r="G1307">
        <f t="shared" si="89"/>
        <v>0.12683333333333333</v>
      </c>
    </row>
    <row r="1308" spans="1:7">
      <c r="A1308" s="1">
        <v>20150611</v>
      </c>
      <c r="B1308" s="1">
        <v>42</v>
      </c>
      <c r="C1308" s="2">
        <f t="shared" si="91"/>
        <v>1.0146666666666666</v>
      </c>
      <c r="D1308">
        <f t="shared" si="90"/>
        <v>1.3146666666666667</v>
      </c>
      <c r="E1308" s="3">
        <v>5.8</v>
      </c>
      <c r="F1308">
        <f t="shared" si="88"/>
        <v>1.0146666666666666</v>
      </c>
      <c r="G1308">
        <f t="shared" si="89"/>
        <v>2.4158730158730157E-2</v>
      </c>
    </row>
    <row r="1309" spans="1:7">
      <c r="A1309" s="1">
        <v>20150611</v>
      </c>
      <c r="B1309" s="1">
        <v>28</v>
      </c>
      <c r="C1309" s="2">
        <f t="shared" si="91"/>
        <v>1.0146666666666666</v>
      </c>
      <c r="D1309">
        <f t="shared" si="90"/>
        <v>1.3146666666666667</v>
      </c>
      <c r="E1309" s="3">
        <v>5.8</v>
      </c>
      <c r="F1309">
        <f t="shared" si="88"/>
        <v>1.0146666666666666</v>
      </c>
      <c r="G1309">
        <f t="shared" si="89"/>
        <v>3.6238095238095236E-2</v>
      </c>
    </row>
    <row r="1310" spans="1:7">
      <c r="A1310" s="1">
        <v>20150611</v>
      </c>
      <c r="B1310" s="1">
        <v>22</v>
      </c>
      <c r="C1310" s="2">
        <f t="shared" si="91"/>
        <v>1.0146666666666666</v>
      </c>
      <c r="D1310">
        <f t="shared" si="90"/>
        <v>1.3146666666666667</v>
      </c>
      <c r="E1310" s="3">
        <v>5.8</v>
      </c>
      <c r="F1310">
        <f t="shared" si="88"/>
        <v>1.0146666666666666</v>
      </c>
      <c r="G1310">
        <f t="shared" si="89"/>
        <v>4.6121212121212118E-2</v>
      </c>
    </row>
    <row r="1311" spans="1:7">
      <c r="A1311" s="1">
        <v>20150611</v>
      </c>
      <c r="B1311" s="1">
        <v>16</v>
      </c>
      <c r="C1311" s="2">
        <f t="shared" si="91"/>
        <v>1.0146666666666666</v>
      </c>
      <c r="D1311">
        <f t="shared" si="90"/>
        <v>1.3146666666666667</v>
      </c>
      <c r="E1311" s="3">
        <v>5.8</v>
      </c>
      <c r="F1311">
        <f t="shared" si="88"/>
        <v>1.0146666666666666</v>
      </c>
      <c r="G1311">
        <f t="shared" si="89"/>
        <v>6.3416666666666663E-2</v>
      </c>
    </row>
    <row r="1312" spans="1:7">
      <c r="A1312" s="1">
        <v>20150611</v>
      </c>
      <c r="B1312" s="1">
        <v>47</v>
      </c>
      <c r="C1312" s="2">
        <f t="shared" si="91"/>
        <v>1.2413333333333334</v>
      </c>
      <c r="D1312">
        <f t="shared" si="90"/>
        <v>1.5413333333333334</v>
      </c>
      <c r="E1312" s="3">
        <v>6.8</v>
      </c>
      <c r="F1312">
        <f t="shared" si="88"/>
        <v>1.2413333333333334</v>
      </c>
      <c r="G1312">
        <f t="shared" si="89"/>
        <v>2.6411347517730499E-2</v>
      </c>
    </row>
    <row r="1313" spans="1:7">
      <c r="A1313" s="1">
        <v>20150611</v>
      </c>
      <c r="B1313" s="1">
        <v>22</v>
      </c>
      <c r="C1313" s="2">
        <f t="shared" si="91"/>
        <v>1.2413333333333334</v>
      </c>
      <c r="D1313">
        <f t="shared" si="90"/>
        <v>1.5413333333333334</v>
      </c>
      <c r="E1313" s="3">
        <v>6.8</v>
      </c>
      <c r="F1313">
        <f t="shared" si="88"/>
        <v>1.2413333333333334</v>
      </c>
      <c r="G1313">
        <f t="shared" si="89"/>
        <v>5.6424242424242425E-2</v>
      </c>
    </row>
    <row r="1314" spans="1:7">
      <c r="A1314" s="1">
        <v>20150611</v>
      </c>
      <c r="B1314" s="1">
        <v>17</v>
      </c>
      <c r="C1314" s="2">
        <f t="shared" si="91"/>
        <v>1.2413333333333334</v>
      </c>
      <c r="D1314">
        <f t="shared" si="90"/>
        <v>1.5413333333333334</v>
      </c>
      <c r="E1314" s="3">
        <v>6.8</v>
      </c>
      <c r="F1314">
        <f t="shared" si="88"/>
        <v>1.2413333333333334</v>
      </c>
      <c r="G1314">
        <f t="shared" si="89"/>
        <v>7.3019607843137255E-2</v>
      </c>
    </row>
    <row r="1315" spans="1:7">
      <c r="A1315" s="1">
        <v>20150611</v>
      </c>
      <c r="B1315" s="1">
        <v>19</v>
      </c>
      <c r="C1315" s="2">
        <f t="shared" si="91"/>
        <v>1.2413333333333334</v>
      </c>
      <c r="D1315">
        <f t="shared" si="90"/>
        <v>1.5413333333333334</v>
      </c>
      <c r="E1315" s="3">
        <v>6.8</v>
      </c>
      <c r="F1315">
        <f t="shared" si="88"/>
        <v>1.2413333333333334</v>
      </c>
      <c r="G1315">
        <f t="shared" si="89"/>
        <v>6.533333333333334E-2</v>
      </c>
    </row>
    <row r="1316" spans="1:7">
      <c r="A1316" s="1">
        <v>20150611</v>
      </c>
      <c r="B1316" s="1">
        <v>16</v>
      </c>
      <c r="C1316" s="2">
        <f t="shared" si="91"/>
        <v>1.2413333333333334</v>
      </c>
      <c r="D1316">
        <f t="shared" si="90"/>
        <v>1.5413333333333334</v>
      </c>
      <c r="E1316" s="3">
        <v>6.8</v>
      </c>
      <c r="F1316">
        <f t="shared" si="88"/>
        <v>1.2413333333333334</v>
      </c>
      <c r="G1316">
        <f t="shared" si="89"/>
        <v>7.7583333333333337E-2</v>
      </c>
    </row>
    <row r="1317" spans="1:7">
      <c r="A1317" s="1">
        <v>20150611</v>
      </c>
      <c r="B1317" s="1">
        <v>32</v>
      </c>
      <c r="C1317" s="2">
        <f t="shared" si="91"/>
        <v>1.0373333333333334</v>
      </c>
      <c r="D1317">
        <f t="shared" si="90"/>
        <v>1.3373333333333335</v>
      </c>
      <c r="E1317" s="3">
        <v>5.9</v>
      </c>
      <c r="F1317">
        <f t="shared" si="88"/>
        <v>1.0373333333333334</v>
      </c>
      <c r="G1317">
        <f t="shared" si="89"/>
        <v>3.241666666666667E-2</v>
      </c>
    </row>
    <row r="1318" spans="1:7">
      <c r="A1318" s="1">
        <v>20150611</v>
      </c>
      <c r="B1318" s="1">
        <v>8</v>
      </c>
      <c r="C1318" s="2">
        <f t="shared" si="91"/>
        <v>1.0373333333333334</v>
      </c>
      <c r="D1318">
        <f t="shared" si="90"/>
        <v>1.3373333333333335</v>
      </c>
      <c r="E1318" s="3">
        <v>5.9</v>
      </c>
      <c r="F1318">
        <f t="shared" si="88"/>
        <v>1.0373333333333334</v>
      </c>
      <c r="G1318">
        <f t="shared" si="89"/>
        <v>0.12966666666666668</v>
      </c>
    </row>
    <row r="1319" spans="1:7">
      <c r="A1319" s="1">
        <v>20150611</v>
      </c>
      <c r="B1319" s="1">
        <v>17</v>
      </c>
      <c r="C1319" s="2">
        <f t="shared" si="91"/>
        <v>1.0373333333333334</v>
      </c>
      <c r="D1319">
        <f t="shared" si="90"/>
        <v>1.3373333333333335</v>
      </c>
      <c r="E1319" s="3">
        <v>5.9</v>
      </c>
      <c r="F1319">
        <f t="shared" si="88"/>
        <v>1.0373333333333334</v>
      </c>
      <c r="G1319">
        <f t="shared" si="89"/>
        <v>6.1019607843137258E-2</v>
      </c>
    </row>
    <row r="1320" spans="1:7">
      <c r="A1320" s="1">
        <v>20150611</v>
      </c>
      <c r="B1320" s="1">
        <v>16</v>
      </c>
      <c r="C1320" s="2">
        <f t="shared" si="91"/>
        <v>1.0373333333333334</v>
      </c>
      <c r="D1320">
        <f t="shared" si="90"/>
        <v>1.3373333333333335</v>
      </c>
      <c r="E1320" s="3">
        <v>5.9</v>
      </c>
      <c r="F1320">
        <f t="shared" si="88"/>
        <v>1.0373333333333334</v>
      </c>
      <c r="G1320">
        <f t="shared" si="89"/>
        <v>6.483333333333334E-2</v>
      </c>
    </row>
    <row r="1321" spans="1:7">
      <c r="A1321" s="1">
        <v>20150611</v>
      </c>
      <c r="B1321" s="1">
        <v>20</v>
      </c>
      <c r="C1321" s="2">
        <f t="shared" si="91"/>
        <v>1.0373333333333334</v>
      </c>
      <c r="D1321">
        <f t="shared" si="90"/>
        <v>1.3373333333333335</v>
      </c>
      <c r="E1321" s="3">
        <v>5.9</v>
      </c>
      <c r="F1321">
        <f t="shared" ref="F1321:F1384" si="92">C1321</f>
        <v>1.0373333333333334</v>
      </c>
      <c r="G1321">
        <f t="shared" ref="G1321:G1384" si="93">F1321/B1321</f>
        <v>5.1866666666666672E-2</v>
      </c>
    </row>
    <row r="1322" spans="1:7">
      <c r="A1322" s="1">
        <v>20150611</v>
      </c>
      <c r="B1322" s="1">
        <v>7</v>
      </c>
      <c r="C1322" s="2">
        <f t="shared" si="91"/>
        <v>1.3546666666666667</v>
      </c>
      <c r="D1322">
        <f t="shared" si="90"/>
        <v>1.6546666666666667</v>
      </c>
      <c r="E1322" s="3">
        <v>7.3</v>
      </c>
      <c r="F1322">
        <f t="shared" si="92"/>
        <v>1.3546666666666667</v>
      </c>
      <c r="G1322">
        <f t="shared" si="93"/>
        <v>0.19352380952380951</v>
      </c>
    </row>
    <row r="1323" spans="1:7">
      <c r="A1323" s="1">
        <v>20150611</v>
      </c>
      <c r="B1323" s="1">
        <v>37</v>
      </c>
      <c r="C1323" s="2">
        <f t="shared" si="91"/>
        <v>1.3546666666666667</v>
      </c>
      <c r="D1323">
        <f t="shared" si="90"/>
        <v>1.6546666666666667</v>
      </c>
      <c r="E1323" s="3">
        <v>7.3</v>
      </c>
      <c r="F1323">
        <f t="shared" si="92"/>
        <v>1.3546666666666667</v>
      </c>
      <c r="G1323">
        <f t="shared" si="93"/>
        <v>3.6612612612612616E-2</v>
      </c>
    </row>
    <row r="1324" spans="1:7">
      <c r="A1324" s="1">
        <v>20150611</v>
      </c>
      <c r="B1324" s="1">
        <v>51</v>
      </c>
      <c r="C1324" s="2">
        <f t="shared" si="91"/>
        <v>1.3546666666666667</v>
      </c>
      <c r="D1324">
        <f t="shared" si="90"/>
        <v>1.6546666666666667</v>
      </c>
      <c r="E1324" s="3">
        <v>7.3</v>
      </c>
      <c r="F1324">
        <f t="shared" si="92"/>
        <v>1.3546666666666667</v>
      </c>
      <c r="G1324">
        <f t="shared" si="93"/>
        <v>2.6562091503267975E-2</v>
      </c>
    </row>
    <row r="1325" spans="1:7">
      <c r="A1325" s="1">
        <v>20150611</v>
      </c>
      <c r="B1325" s="1">
        <v>25</v>
      </c>
      <c r="C1325" s="2">
        <f t="shared" si="91"/>
        <v>1.3546666666666667</v>
      </c>
      <c r="D1325">
        <f t="shared" si="90"/>
        <v>1.6546666666666667</v>
      </c>
      <c r="E1325" s="3">
        <v>7.3</v>
      </c>
      <c r="F1325">
        <f t="shared" si="92"/>
        <v>1.3546666666666667</v>
      </c>
      <c r="G1325">
        <f t="shared" si="93"/>
        <v>5.4186666666666668E-2</v>
      </c>
    </row>
    <row r="1326" spans="1:7">
      <c r="A1326" s="1">
        <v>20150611</v>
      </c>
      <c r="B1326" s="1">
        <v>13</v>
      </c>
      <c r="C1326" s="2">
        <f t="shared" si="91"/>
        <v>1.3546666666666667</v>
      </c>
      <c r="D1326">
        <f t="shared" si="90"/>
        <v>1.6546666666666667</v>
      </c>
      <c r="E1326" s="3">
        <v>7.3</v>
      </c>
      <c r="F1326">
        <f t="shared" si="92"/>
        <v>1.3546666666666667</v>
      </c>
      <c r="G1326">
        <f t="shared" si="93"/>
        <v>0.1042051282051282</v>
      </c>
    </row>
    <row r="1327" spans="1:7">
      <c r="A1327" s="1">
        <v>20150611</v>
      </c>
      <c r="B1327" s="1">
        <v>9</v>
      </c>
      <c r="C1327" s="2">
        <f t="shared" si="91"/>
        <v>1.196</v>
      </c>
      <c r="D1327">
        <f t="shared" si="90"/>
        <v>1.496</v>
      </c>
      <c r="E1327" s="3">
        <v>6.6</v>
      </c>
      <c r="F1327">
        <f t="shared" si="92"/>
        <v>1.196</v>
      </c>
      <c r="G1327">
        <f t="shared" si="93"/>
        <v>0.13288888888888889</v>
      </c>
    </row>
    <row r="1328" spans="1:7">
      <c r="A1328" s="1">
        <v>20150611</v>
      </c>
      <c r="B1328" s="1">
        <v>43</v>
      </c>
      <c r="C1328" s="2">
        <f t="shared" si="91"/>
        <v>1.196</v>
      </c>
      <c r="D1328">
        <f t="shared" si="90"/>
        <v>1.496</v>
      </c>
      <c r="E1328" s="3">
        <v>6.6</v>
      </c>
      <c r="F1328">
        <f t="shared" si="92"/>
        <v>1.196</v>
      </c>
      <c r="G1328">
        <f t="shared" si="93"/>
        <v>2.7813953488372092E-2</v>
      </c>
    </row>
    <row r="1329" spans="1:7">
      <c r="A1329" s="1">
        <v>20150611</v>
      </c>
      <c r="B1329" s="1">
        <v>18</v>
      </c>
      <c r="C1329" s="2">
        <f t="shared" si="91"/>
        <v>1.196</v>
      </c>
      <c r="D1329">
        <f t="shared" si="90"/>
        <v>1.496</v>
      </c>
      <c r="E1329" s="3">
        <v>6.6</v>
      </c>
      <c r="F1329">
        <f t="shared" si="92"/>
        <v>1.196</v>
      </c>
      <c r="G1329">
        <f t="shared" si="93"/>
        <v>6.6444444444444445E-2</v>
      </c>
    </row>
    <row r="1330" spans="1:7">
      <c r="A1330" s="1">
        <v>20150611</v>
      </c>
      <c r="B1330" s="1">
        <v>28</v>
      </c>
      <c r="C1330" s="2">
        <f t="shared" si="91"/>
        <v>1.196</v>
      </c>
      <c r="D1330">
        <f t="shared" ref="D1330:D1393" si="94">0.17*($H$3/12)*E1330</f>
        <v>1.496</v>
      </c>
      <c r="E1330" s="3">
        <v>6.6</v>
      </c>
      <c r="F1330">
        <f t="shared" si="92"/>
        <v>1.196</v>
      </c>
      <c r="G1330">
        <f t="shared" si="93"/>
        <v>4.2714285714285712E-2</v>
      </c>
    </row>
    <row r="1331" spans="1:7">
      <c r="A1331" s="1">
        <v>20150611</v>
      </c>
      <c r="B1331" s="1">
        <v>33</v>
      </c>
      <c r="C1331" s="2">
        <f t="shared" si="91"/>
        <v>1.196</v>
      </c>
      <c r="D1331">
        <f t="shared" si="94"/>
        <v>1.496</v>
      </c>
      <c r="E1331" s="3">
        <v>6.6</v>
      </c>
      <c r="F1331">
        <f t="shared" si="92"/>
        <v>1.196</v>
      </c>
      <c r="G1331">
        <f t="shared" si="93"/>
        <v>3.6242424242424243E-2</v>
      </c>
    </row>
    <row r="1332" spans="1:7">
      <c r="A1332" s="1">
        <v>20150611</v>
      </c>
      <c r="B1332" s="1">
        <v>4</v>
      </c>
      <c r="C1332" s="2">
        <f t="shared" ref="C1332:C1395" si="95">D1332-$S$46</f>
        <v>1.9893333333333334</v>
      </c>
      <c r="D1332">
        <f t="shared" si="94"/>
        <v>2.2893333333333334</v>
      </c>
      <c r="E1332" s="3">
        <v>10.1</v>
      </c>
      <c r="F1332">
        <f t="shared" si="92"/>
        <v>1.9893333333333334</v>
      </c>
      <c r="G1332">
        <f t="shared" si="93"/>
        <v>0.49733333333333335</v>
      </c>
    </row>
    <row r="1333" spans="1:7">
      <c r="A1333" s="1">
        <v>20150611</v>
      </c>
      <c r="B1333" s="1">
        <v>6</v>
      </c>
      <c r="C1333" s="2">
        <f t="shared" si="95"/>
        <v>1.9893333333333334</v>
      </c>
      <c r="D1333">
        <f t="shared" si="94"/>
        <v>2.2893333333333334</v>
      </c>
      <c r="E1333" s="3">
        <v>10.1</v>
      </c>
      <c r="F1333">
        <f t="shared" si="92"/>
        <v>1.9893333333333334</v>
      </c>
      <c r="G1333">
        <f t="shared" si="93"/>
        <v>0.33155555555555555</v>
      </c>
    </row>
    <row r="1334" spans="1:7">
      <c r="A1334" s="1">
        <v>20150611</v>
      </c>
      <c r="B1334" s="1">
        <v>11</v>
      </c>
      <c r="C1334" s="2">
        <f t="shared" si="95"/>
        <v>1.9893333333333334</v>
      </c>
      <c r="D1334">
        <f t="shared" si="94"/>
        <v>2.2893333333333334</v>
      </c>
      <c r="E1334" s="3">
        <v>10.1</v>
      </c>
      <c r="F1334">
        <f t="shared" si="92"/>
        <v>1.9893333333333334</v>
      </c>
      <c r="G1334">
        <f t="shared" si="93"/>
        <v>0.18084848484848484</v>
      </c>
    </row>
    <row r="1335" spans="1:7">
      <c r="A1335" s="1">
        <v>20150611</v>
      </c>
      <c r="B1335" s="1">
        <v>23</v>
      </c>
      <c r="C1335" s="2">
        <f t="shared" si="95"/>
        <v>1.9893333333333334</v>
      </c>
      <c r="D1335">
        <f t="shared" si="94"/>
        <v>2.2893333333333334</v>
      </c>
      <c r="E1335" s="3">
        <v>10.1</v>
      </c>
      <c r="F1335">
        <f t="shared" si="92"/>
        <v>1.9893333333333334</v>
      </c>
      <c r="G1335">
        <f t="shared" si="93"/>
        <v>8.6492753623188409E-2</v>
      </c>
    </row>
    <row r="1336" spans="1:7">
      <c r="A1336" s="1">
        <v>20150611</v>
      </c>
      <c r="B1336" s="1">
        <v>7</v>
      </c>
      <c r="C1336" s="2">
        <f t="shared" si="95"/>
        <v>1.9893333333333334</v>
      </c>
      <c r="D1336">
        <f t="shared" si="94"/>
        <v>2.2893333333333334</v>
      </c>
      <c r="E1336" s="3">
        <v>10.1</v>
      </c>
      <c r="F1336">
        <f t="shared" si="92"/>
        <v>1.9893333333333334</v>
      </c>
      <c r="G1336">
        <f t="shared" si="93"/>
        <v>0.28419047619047622</v>
      </c>
    </row>
    <row r="1337" spans="1:7">
      <c r="A1337" s="1">
        <v>20150611</v>
      </c>
      <c r="B1337" s="1">
        <v>31</v>
      </c>
      <c r="C1337" s="2">
        <f t="shared" si="95"/>
        <v>1.0146666666666666</v>
      </c>
      <c r="D1337">
        <f t="shared" si="94"/>
        <v>1.3146666666666667</v>
      </c>
      <c r="E1337" s="3">
        <v>5.8</v>
      </c>
      <c r="F1337">
        <f t="shared" si="92"/>
        <v>1.0146666666666666</v>
      </c>
      <c r="G1337">
        <f t="shared" si="93"/>
        <v>3.2731182795698921E-2</v>
      </c>
    </row>
    <row r="1338" spans="1:7">
      <c r="A1338" s="1">
        <v>20150611</v>
      </c>
      <c r="B1338" s="1">
        <v>28</v>
      </c>
      <c r="C1338" s="2">
        <f t="shared" si="95"/>
        <v>1.0146666666666666</v>
      </c>
      <c r="D1338">
        <f t="shared" si="94"/>
        <v>1.3146666666666667</v>
      </c>
      <c r="E1338" s="3">
        <v>5.8</v>
      </c>
      <c r="F1338">
        <f t="shared" si="92"/>
        <v>1.0146666666666666</v>
      </c>
      <c r="G1338">
        <f t="shared" si="93"/>
        <v>3.6238095238095236E-2</v>
      </c>
    </row>
    <row r="1339" spans="1:7">
      <c r="A1339" s="1">
        <v>20150611</v>
      </c>
      <c r="B1339" s="1">
        <v>48</v>
      </c>
      <c r="C1339" s="2">
        <f t="shared" si="95"/>
        <v>1.0146666666666666</v>
      </c>
      <c r="D1339">
        <f t="shared" si="94"/>
        <v>1.3146666666666667</v>
      </c>
      <c r="E1339" s="3">
        <v>5.8</v>
      </c>
      <c r="F1339">
        <f t="shared" si="92"/>
        <v>1.0146666666666666</v>
      </c>
      <c r="G1339">
        <f t="shared" si="93"/>
        <v>2.1138888888888888E-2</v>
      </c>
    </row>
    <row r="1340" spans="1:7">
      <c r="A1340" s="1">
        <v>20150611</v>
      </c>
      <c r="B1340" s="1">
        <v>47</v>
      </c>
      <c r="C1340" s="2">
        <f t="shared" si="95"/>
        <v>1.0146666666666666</v>
      </c>
      <c r="D1340">
        <f t="shared" si="94"/>
        <v>1.3146666666666667</v>
      </c>
      <c r="E1340" s="3">
        <v>5.8</v>
      </c>
      <c r="F1340">
        <f t="shared" si="92"/>
        <v>1.0146666666666666</v>
      </c>
      <c r="G1340">
        <f t="shared" si="93"/>
        <v>2.1588652482269502E-2</v>
      </c>
    </row>
    <row r="1341" spans="1:7">
      <c r="A1341" s="1">
        <v>20150611</v>
      </c>
      <c r="B1341" s="1">
        <v>23</v>
      </c>
      <c r="C1341" s="2">
        <f t="shared" si="95"/>
        <v>1.0146666666666666</v>
      </c>
      <c r="D1341">
        <f t="shared" si="94"/>
        <v>1.3146666666666667</v>
      </c>
      <c r="E1341" s="3">
        <v>5.8</v>
      </c>
      <c r="F1341">
        <f t="shared" si="92"/>
        <v>1.0146666666666666</v>
      </c>
      <c r="G1341">
        <f t="shared" si="93"/>
        <v>4.4115942028985507E-2</v>
      </c>
    </row>
    <row r="1342" spans="1:7">
      <c r="A1342" s="1">
        <v>20150611</v>
      </c>
      <c r="B1342" s="1">
        <v>26</v>
      </c>
      <c r="C1342" s="2">
        <f t="shared" si="95"/>
        <v>1.2413333333333334</v>
      </c>
      <c r="D1342">
        <f t="shared" si="94"/>
        <v>1.5413333333333334</v>
      </c>
      <c r="E1342" s="3">
        <v>6.8</v>
      </c>
      <c r="F1342">
        <f t="shared" si="92"/>
        <v>1.2413333333333334</v>
      </c>
      <c r="G1342">
        <f t="shared" si="93"/>
        <v>4.7743589743589748E-2</v>
      </c>
    </row>
    <row r="1343" spans="1:7">
      <c r="A1343" s="1">
        <v>20150611</v>
      </c>
      <c r="B1343" s="1">
        <v>24</v>
      </c>
      <c r="C1343" s="2">
        <f t="shared" si="95"/>
        <v>1.2413333333333334</v>
      </c>
      <c r="D1343">
        <f t="shared" si="94"/>
        <v>1.5413333333333334</v>
      </c>
      <c r="E1343" s="3">
        <v>6.8</v>
      </c>
      <c r="F1343">
        <f t="shared" si="92"/>
        <v>1.2413333333333334</v>
      </c>
      <c r="G1343">
        <f t="shared" si="93"/>
        <v>5.1722222222222225E-2</v>
      </c>
    </row>
    <row r="1344" spans="1:7">
      <c r="A1344" s="1">
        <v>20150611</v>
      </c>
      <c r="B1344" s="1">
        <v>26</v>
      </c>
      <c r="C1344" s="2">
        <f t="shared" si="95"/>
        <v>1.2413333333333334</v>
      </c>
      <c r="D1344">
        <f t="shared" si="94"/>
        <v>1.5413333333333334</v>
      </c>
      <c r="E1344" s="3">
        <v>6.8</v>
      </c>
      <c r="F1344">
        <f t="shared" si="92"/>
        <v>1.2413333333333334</v>
      </c>
      <c r="G1344">
        <f t="shared" si="93"/>
        <v>4.7743589743589748E-2</v>
      </c>
    </row>
    <row r="1345" spans="1:7">
      <c r="A1345" s="1">
        <v>20150611</v>
      </c>
      <c r="B1345" s="1">
        <v>15</v>
      </c>
      <c r="C1345" s="2">
        <f t="shared" si="95"/>
        <v>1.2413333333333334</v>
      </c>
      <c r="D1345">
        <f t="shared" si="94"/>
        <v>1.5413333333333334</v>
      </c>
      <c r="E1345" s="3">
        <v>6.8</v>
      </c>
      <c r="F1345">
        <f t="shared" si="92"/>
        <v>1.2413333333333334</v>
      </c>
      <c r="G1345">
        <f t="shared" si="93"/>
        <v>8.2755555555555554E-2</v>
      </c>
    </row>
    <row r="1346" spans="1:7">
      <c r="A1346" s="1">
        <v>20150611</v>
      </c>
      <c r="B1346" s="1">
        <v>18</v>
      </c>
      <c r="C1346" s="2">
        <f t="shared" si="95"/>
        <v>1.2413333333333334</v>
      </c>
      <c r="D1346">
        <f t="shared" si="94"/>
        <v>1.5413333333333334</v>
      </c>
      <c r="E1346" s="3">
        <v>6.8</v>
      </c>
      <c r="F1346">
        <f t="shared" si="92"/>
        <v>1.2413333333333334</v>
      </c>
      <c r="G1346">
        <f t="shared" si="93"/>
        <v>6.8962962962962962E-2</v>
      </c>
    </row>
    <row r="1347" spans="1:7">
      <c r="A1347" s="1">
        <v>20150611</v>
      </c>
      <c r="B1347" s="1">
        <v>25</v>
      </c>
      <c r="C1347" s="2">
        <f t="shared" si="95"/>
        <v>1.0373333333333334</v>
      </c>
      <c r="D1347">
        <f t="shared" si="94"/>
        <v>1.3373333333333335</v>
      </c>
      <c r="E1347" s="3">
        <v>5.9</v>
      </c>
      <c r="F1347">
        <f t="shared" si="92"/>
        <v>1.0373333333333334</v>
      </c>
      <c r="G1347">
        <f t="shared" si="93"/>
        <v>4.149333333333334E-2</v>
      </c>
    </row>
    <row r="1348" spans="1:7">
      <c r="A1348" s="1">
        <v>20150611</v>
      </c>
      <c r="B1348" s="1">
        <v>25</v>
      </c>
      <c r="C1348" s="2">
        <f t="shared" si="95"/>
        <v>1.0373333333333334</v>
      </c>
      <c r="D1348">
        <f t="shared" si="94"/>
        <v>1.3373333333333335</v>
      </c>
      <c r="E1348" s="3">
        <v>5.9</v>
      </c>
      <c r="F1348">
        <f t="shared" si="92"/>
        <v>1.0373333333333334</v>
      </c>
      <c r="G1348">
        <f t="shared" si="93"/>
        <v>4.149333333333334E-2</v>
      </c>
    </row>
    <row r="1349" spans="1:7">
      <c r="A1349" s="1">
        <v>20150611</v>
      </c>
      <c r="B1349" s="1">
        <v>26</v>
      </c>
      <c r="C1349" s="2">
        <f t="shared" si="95"/>
        <v>1.0373333333333334</v>
      </c>
      <c r="D1349">
        <f t="shared" si="94"/>
        <v>1.3373333333333335</v>
      </c>
      <c r="E1349" s="3">
        <v>5.9</v>
      </c>
      <c r="F1349">
        <f t="shared" si="92"/>
        <v>1.0373333333333334</v>
      </c>
      <c r="G1349">
        <f t="shared" si="93"/>
        <v>3.9897435897435898E-2</v>
      </c>
    </row>
    <row r="1350" spans="1:7">
      <c r="A1350" s="1">
        <v>20150611</v>
      </c>
      <c r="B1350" s="1">
        <v>28</v>
      </c>
      <c r="C1350" s="2">
        <f t="shared" si="95"/>
        <v>1.0373333333333334</v>
      </c>
      <c r="D1350">
        <f t="shared" si="94"/>
        <v>1.3373333333333335</v>
      </c>
      <c r="E1350" s="3">
        <v>5.9</v>
      </c>
      <c r="F1350">
        <f t="shared" si="92"/>
        <v>1.0373333333333334</v>
      </c>
      <c r="G1350">
        <f t="shared" si="93"/>
        <v>3.7047619047619051E-2</v>
      </c>
    </row>
    <row r="1351" spans="1:7">
      <c r="A1351" s="1">
        <v>20150611</v>
      </c>
      <c r="B1351" s="1">
        <v>31</v>
      </c>
      <c r="C1351" s="2">
        <f t="shared" si="95"/>
        <v>1.0373333333333334</v>
      </c>
      <c r="D1351">
        <f t="shared" si="94"/>
        <v>1.3373333333333335</v>
      </c>
      <c r="E1351" s="3">
        <v>5.9</v>
      </c>
      <c r="F1351">
        <f t="shared" si="92"/>
        <v>1.0373333333333334</v>
      </c>
      <c r="G1351">
        <f t="shared" si="93"/>
        <v>3.3462365591397855E-2</v>
      </c>
    </row>
    <row r="1352" spans="1:7">
      <c r="A1352" s="1">
        <v>20150611</v>
      </c>
      <c r="B1352" s="1">
        <v>14</v>
      </c>
      <c r="C1352" s="2">
        <f t="shared" si="95"/>
        <v>1.3546666666666667</v>
      </c>
      <c r="D1352">
        <f t="shared" si="94"/>
        <v>1.6546666666666667</v>
      </c>
      <c r="E1352" s="3">
        <v>7.3</v>
      </c>
      <c r="F1352">
        <f t="shared" si="92"/>
        <v>1.3546666666666667</v>
      </c>
      <c r="G1352">
        <f t="shared" si="93"/>
        <v>9.6761904761904757E-2</v>
      </c>
    </row>
    <row r="1353" spans="1:7">
      <c r="A1353" s="1">
        <v>20150611</v>
      </c>
      <c r="B1353" s="1">
        <v>15</v>
      </c>
      <c r="C1353" s="2">
        <f t="shared" si="95"/>
        <v>1.3546666666666667</v>
      </c>
      <c r="D1353">
        <f t="shared" si="94"/>
        <v>1.6546666666666667</v>
      </c>
      <c r="E1353" s="3">
        <v>7.3</v>
      </c>
      <c r="F1353">
        <f t="shared" si="92"/>
        <v>1.3546666666666667</v>
      </c>
      <c r="G1353">
        <f t="shared" si="93"/>
        <v>9.0311111111111106E-2</v>
      </c>
    </row>
    <row r="1354" spans="1:7">
      <c r="A1354" s="1">
        <v>20150611</v>
      </c>
      <c r="B1354" s="1">
        <v>49</v>
      </c>
      <c r="C1354" s="2">
        <f t="shared" si="95"/>
        <v>1.3546666666666667</v>
      </c>
      <c r="D1354">
        <f t="shared" si="94"/>
        <v>1.6546666666666667</v>
      </c>
      <c r="E1354" s="3">
        <v>7.3</v>
      </c>
      <c r="F1354">
        <f t="shared" si="92"/>
        <v>1.3546666666666667</v>
      </c>
      <c r="G1354">
        <f t="shared" si="93"/>
        <v>2.7646258503401362E-2</v>
      </c>
    </row>
    <row r="1355" spans="1:7">
      <c r="A1355" s="1">
        <v>20150611</v>
      </c>
      <c r="B1355" s="1">
        <v>54</v>
      </c>
      <c r="C1355" s="2">
        <f t="shared" si="95"/>
        <v>1.3546666666666667</v>
      </c>
      <c r="D1355">
        <f t="shared" si="94"/>
        <v>1.6546666666666667</v>
      </c>
      <c r="E1355" s="3">
        <v>7.3</v>
      </c>
      <c r="F1355">
        <f t="shared" si="92"/>
        <v>1.3546666666666667</v>
      </c>
      <c r="G1355">
        <f t="shared" si="93"/>
        <v>2.5086419753086422E-2</v>
      </c>
    </row>
    <row r="1356" spans="1:7">
      <c r="A1356" s="1">
        <v>20150611</v>
      </c>
      <c r="B1356" s="1">
        <v>32</v>
      </c>
      <c r="C1356" s="2">
        <f t="shared" si="95"/>
        <v>1.3546666666666667</v>
      </c>
      <c r="D1356">
        <f t="shared" si="94"/>
        <v>1.6546666666666667</v>
      </c>
      <c r="E1356" s="3">
        <v>7.3</v>
      </c>
      <c r="F1356">
        <f t="shared" si="92"/>
        <v>1.3546666666666667</v>
      </c>
      <c r="G1356">
        <f t="shared" si="93"/>
        <v>4.2333333333333334E-2</v>
      </c>
    </row>
    <row r="1357" spans="1:7">
      <c r="A1357" s="1">
        <v>20150611</v>
      </c>
      <c r="B1357" s="1">
        <v>36</v>
      </c>
      <c r="C1357" s="2">
        <f t="shared" si="95"/>
        <v>1.196</v>
      </c>
      <c r="D1357">
        <f t="shared" si="94"/>
        <v>1.496</v>
      </c>
      <c r="E1357" s="3">
        <v>6.6</v>
      </c>
      <c r="F1357">
        <f t="shared" si="92"/>
        <v>1.196</v>
      </c>
      <c r="G1357">
        <f t="shared" si="93"/>
        <v>3.3222222222222222E-2</v>
      </c>
    </row>
    <row r="1358" spans="1:7">
      <c r="A1358" s="1">
        <v>20150611</v>
      </c>
      <c r="B1358" s="1">
        <v>20</v>
      </c>
      <c r="C1358" s="2">
        <f t="shared" si="95"/>
        <v>1.196</v>
      </c>
      <c r="D1358">
        <f t="shared" si="94"/>
        <v>1.496</v>
      </c>
      <c r="E1358" s="3">
        <v>6.6</v>
      </c>
      <c r="F1358">
        <f t="shared" si="92"/>
        <v>1.196</v>
      </c>
      <c r="G1358">
        <f t="shared" si="93"/>
        <v>5.9799999999999999E-2</v>
      </c>
    </row>
    <row r="1359" spans="1:7">
      <c r="A1359" s="1">
        <v>20150611</v>
      </c>
      <c r="B1359" s="1">
        <v>17</v>
      </c>
      <c r="C1359" s="2">
        <f t="shared" si="95"/>
        <v>1.196</v>
      </c>
      <c r="D1359">
        <f t="shared" si="94"/>
        <v>1.496</v>
      </c>
      <c r="E1359" s="3">
        <v>6.6</v>
      </c>
      <c r="F1359">
        <f t="shared" si="92"/>
        <v>1.196</v>
      </c>
      <c r="G1359">
        <f t="shared" si="93"/>
        <v>7.035294117647059E-2</v>
      </c>
    </row>
    <row r="1360" spans="1:7">
      <c r="A1360" s="1">
        <v>20150611</v>
      </c>
      <c r="B1360" s="1">
        <v>16</v>
      </c>
      <c r="C1360" s="2">
        <f t="shared" si="95"/>
        <v>1.196</v>
      </c>
      <c r="D1360">
        <f t="shared" si="94"/>
        <v>1.496</v>
      </c>
      <c r="E1360" s="3">
        <v>6.6</v>
      </c>
      <c r="F1360">
        <f t="shared" si="92"/>
        <v>1.196</v>
      </c>
      <c r="G1360">
        <f t="shared" si="93"/>
        <v>7.4749999999999997E-2</v>
      </c>
    </row>
    <row r="1361" spans="1:7">
      <c r="A1361" s="1">
        <v>20150611</v>
      </c>
      <c r="B1361" s="1">
        <v>16</v>
      </c>
      <c r="C1361" s="2">
        <f t="shared" si="95"/>
        <v>1.196</v>
      </c>
      <c r="D1361">
        <f t="shared" si="94"/>
        <v>1.496</v>
      </c>
      <c r="E1361" s="3">
        <v>6.6</v>
      </c>
      <c r="F1361">
        <f t="shared" si="92"/>
        <v>1.196</v>
      </c>
      <c r="G1361">
        <f t="shared" si="93"/>
        <v>7.4749999999999997E-2</v>
      </c>
    </row>
    <row r="1362" spans="1:7">
      <c r="A1362" s="1">
        <v>20150611</v>
      </c>
      <c r="B1362" s="1">
        <v>9</v>
      </c>
      <c r="C1362" s="2">
        <f t="shared" si="95"/>
        <v>1.9893333333333334</v>
      </c>
      <c r="D1362">
        <f t="shared" si="94"/>
        <v>2.2893333333333334</v>
      </c>
      <c r="E1362" s="3">
        <v>10.1</v>
      </c>
      <c r="F1362">
        <f t="shared" si="92"/>
        <v>1.9893333333333334</v>
      </c>
      <c r="G1362">
        <f t="shared" si="93"/>
        <v>0.22103703703703703</v>
      </c>
    </row>
    <row r="1363" spans="1:7">
      <c r="A1363" s="1">
        <v>20150611</v>
      </c>
      <c r="B1363" s="1">
        <v>12</v>
      </c>
      <c r="C1363" s="2">
        <f t="shared" si="95"/>
        <v>1.9893333333333334</v>
      </c>
      <c r="D1363">
        <f t="shared" si="94"/>
        <v>2.2893333333333334</v>
      </c>
      <c r="E1363" s="3">
        <v>10.1</v>
      </c>
      <c r="F1363">
        <f t="shared" si="92"/>
        <v>1.9893333333333334</v>
      </c>
      <c r="G1363">
        <f t="shared" si="93"/>
        <v>0.16577777777777777</v>
      </c>
    </row>
    <row r="1364" spans="1:7">
      <c r="A1364" s="1">
        <v>20150611</v>
      </c>
      <c r="B1364" s="1">
        <v>29</v>
      </c>
      <c r="C1364" s="2">
        <f t="shared" si="95"/>
        <v>1.9893333333333334</v>
      </c>
      <c r="D1364">
        <f t="shared" si="94"/>
        <v>2.2893333333333334</v>
      </c>
      <c r="E1364" s="3">
        <v>10.1</v>
      </c>
      <c r="F1364">
        <f t="shared" si="92"/>
        <v>1.9893333333333334</v>
      </c>
      <c r="G1364">
        <f t="shared" si="93"/>
        <v>6.8597701149425289E-2</v>
      </c>
    </row>
    <row r="1365" spans="1:7">
      <c r="A1365" s="1">
        <v>20150611</v>
      </c>
      <c r="B1365" s="1">
        <v>12</v>
      </c>
      <c r="C1365" s="2">
        <f t="shared" si="95"/>
        <v>1.9893333333333334</v>
      </c>
      <c r="D1365">
        <f t="shared" si="94"/>
        <v>2.2893333333333334</v>
      </c>
      <c r="E1365" s="3">
        <v>10.1</v>
      </c>
      <c r="F1365">
        <f t="shared" si="92"/>
        <v>1.9893333333333334</v>
      </c>
      <c r="G1365">
        <f t="shared" si="93"/>
        <v>0.16577777777777777</v>
      </c>
    </row>
    <row r="1366" spans="1:7">
      <c r="A1366" s="1">
        <v>20150611</v>
      </c>
      <c r="B1366" s="1">
        <v>10</v>
      </c>
      <c r="C1366" s="2">
        <f t="shared" si="95"/>
        <v>1.9893333333333334</v>
      </c>
      <c r="D1366">
        <f t="shared" si="94"/>
        <v>2.2893333333333334</v>
      </c>
      <c r="E1366" s="3">
        <v>10.1</v>
      </c>
      <c r="F1366">
        <f t="shared" si="92"/>
        <v>1.9893333333333334</v>
      </c>
      <c r="G1366">
        <f t="shared" si="93"/>
        <v>0.19893333333333335</v>
      </c>
    </row>
    <row r="1367" spans="1:7">
      <c r="A1367" s="1">
        <v>20150611</v>
      </c>
      <c r="B1367" s="1">
        <v>24</v>
      </c>
      <c r="C1367" s="2">
        <f t="shared" si="95"/>
        <v>1.0146666666666666</v>
      </c>
      <c r="D1367">
        <f t="shared" si="94"/>
        <v>1.3146666666666667</v>
      </c>
      <c r="E1367" s="3">
        <v>5.8</v>
      </c>
      <c r="F1367">
        <f t="shared" si="92"/>
        <v>1.0146666666666666</v>
      </c>
      <c r="G1367">
        <f t="shared" si="93"/>
        <v>4.2277777777777775E-2</v>
      </c>
    </row>
    <row r="1368" spans="1:7">
      <c r="A1368" s="1">
        <v>20150611</v>
      </c>
      <c r="B1368" s="1">
        <v>24</v>
      </c>
      <c r="C1368" s="2">
        <f t="shared" si="95"/>
        <v>1.0146666666666666</v>
      </c>
      <c r="D1368">
        <f t="shared" si="94"/>
        <v>1.3146666666666667</v>
      </c>
      <c r="E1368" s="3">
        <v>5.8</v>
      </c>
      <c r="F1368">
        <f t="shared" si="92"/>
        <v>1.0146666666666666</v>
      </c>
      <c r="G1368">
        <f t="shared" si="93"/>
        <v>4.2277777777777775E-2</v>
      </c>
    </row>
    <row r="1369" spans="1:7">
      <c r="A1369" s="1">
        <v>20150611</v>
      </c>
      <c r="B1369" s="1">
        <v>30</v>
      </c>
      <c r="C1369" s="2">
        <f t="shared" si="95"/>
        <v>1.0146666666666666</v>
      </c>
      <c r="D1369">
        <f t="shared" si="94"/>
        <v>1.3146666666666667</v>
      </c>
      <c r="E1369" s="3">
        <v>5.8</v>
      </c>
      <c r="F1369">
        <f t="shared" si="92"/>
        <v>1.0146666666666666</v>
      </c>
      <c r="G1369">
        <f t="shared" si="93"/>
        <v>3.3822222222222219E-2</v>
      </c>
    </row>
    <row r="1370" spans="1:7">
      <c r="A1370" s="1">
        <v>20150611</v>
      </c>
      <c r="B1370" s="1">
        <v>18</v>
      </c>
      <c r="C1370" s="2">
        <f t="shared" si="95"/>
        <v>1.0146666666666666</v>
      </c>
      <c r="D1370">
        <f t="shared" si="94"/>
        <v>1.3146666666666667</v>
      </c>
      <c r="E1370" s="3">
        <v>5.8</v>
      </c>
      <c r="F1370">
        <f t="shared" si="92"/>
        <v>1.0146666666666666</v>
      </c>
      <c r="G1370">
        <f t="shared" si="93"/>
        <v>5.6370370370370369E-2</v>
      </c>
    </row>
    <row r="1371" spans="1:7">
      <c r="A1371" s="1">
        <v>20150611</v>
      </c>
      <c r="B1371" s="1">
        <v>20</v>
      </c>
      <c r="C1371" s="2">
        <f t="shared" si="95"/>
        <v>1.0146666666666666</v>
      </c>
      <c r="D1371">
        <f t="shared" si="94"/>
        <v>1.3146666666666667</v>
      </c>
      <c r="E1371" s="3">
        <v>5.8</v>
      </c>
      <c r="F1371">
        <f t="shared" si="92"/>
        <v>1.0146666666666666</v>
      </c>
      <c r="G1371">
        <f t="shared" si="93"/>
        <v>5.0733333333333332E-2</v>
      </c>
    </row>
    <row r="1372" spans="1:7">
      <c r="A1372" s="1">
        <v>20150611</v>
      </c>
      <c r="B1372" s="1">
        <v>22</v>
      </c>
      <c r="C1372" s="2">
        <f t="shared" si="95"/>
        <v>1.2413333333333334</v>
      </c>
      <c r="D1372">
        <f t="shared" si="94"/>
        <v>1.5413333333333334</v>
      </c>
      <c r="E1372" s="3">
        <v>6.8</v>
      </c>
      <c r="F1372">
        <f t="shared" si="92"/>
        <v>1.2413333333333334</v>
      </c>
      <c r="G1372">
        <f t="shared" si="93"/>
        <v>5.6424242424242425E-2</v>
      </c>
    </row>
    <row r="1373" spans="1:7">
      <c r="A1373" s="1">
        <v>20150611</v>
      </c>
      <c r="B1373" s="1">
        <v>16</v>
      </c>
      <c r="C1373" s="2">
        <f t="shared" si="95"/>
        <v>1.2413333333333334</v>
      </c>
      <c r="D1373">
        <f t="shared" si="94"/>
        <v>1.5413333333333334</v>
      </c>
      <c r="E1373" s="3">
        <v>6.8</v>
      </c>
      <c r="F1373">
        <f t="shared" si="92"/>
        <v>1.2413333333333334</v>
      </c>
      <c r="G1373">
        <f t="shared" si="93"/>
        <v>7.7583333333333337E-2</v>
      </c>
    </row>
    <row r="1374" spans="1:7">
      <c r="A1374" s="1">
        <v>20150611</v>
      </c>
      <c r="B1374" s="1">
        <v>21</v>
      </c>
      <c r="C1374" s="2">
        <f t="shared" si="95"/>
        <v>1.2413333333333334</v>
      </c>
      <c r="D1374">
        <f t="shared" si="94"/>
        <v>1.5413333333333334</v>
      </c>
      <c r="E1374" s="3">
        <v>6.8</v>
      </c>
      <c r="F1374">
        <f t="shared" si="92"/>
        <v>1.2413333333333334</v>
      </c>
      <c r="G1374">
        <f t="shared" si="93"/>
        <v>5.9111111111111114E-2</v>
      </c>
    </row>
    <row r="1375" spans="1:7">
      <c r="A1375" s="1">
        <v>20150611</v>
      </c>
      <c r="B1375" s="1">
        <v>22</v>
      </c>
      <c r="C1375" s="2">
        <f t="shared" si="95"/>
        <v>1.2413333333333334</v>
      </c>
      <c r="D1375">
        <f t="shared" si="94"/>
        <v>1.5413333333333334</v>
      </c>
      <c r="E1375" s="3">
        <v>6.8</v>
      </c>
      <c r="F1375">
        <f t="shared" si="92"/>
        <v>1.2413333333333334</v>
      </c>
      <c r="G1375">
        <f t="shared" si="93"/>
        <v>5.6424242424242425E-2</v>
      </c>
    </row>
    <row r="1376" spans="1:7">
      <c r="A1376" s="1">
        <v>20150611</v>
      </c>
      <c r="B1376" s="1">
        <v>14</v>
      </c>
      <c r="C1376" s="2">
        <f t="shared" si="95"/>
        <v>1.2413333333333334</v>
      </c>
      <c r="D1376">
        <f t="shared" si="94"/>
        <v>1.5413333333333334</v>
      </c>
      <c r="E1376" s="3">
        <v>6.8</v>
      </c>
      <c r="F1376">
        <f t="shared" si="92"/>
        <v>1.2413333333333334</v>
      </c>
      <c r="G1376">
        <f t="shared" si="93"/>
        <v>8.8666666666666671E-2</v>
      </c>
    </row>
    <row r="1377" spans="1:7">
      <c r="A1377" s="1">
        <v>20150611</v>
      </c>
      <c r="B1377" s="1">
        <v>22</v>
      </c>
      <c r="C1377" s="2">
        <f t="shared" si="95"/>
        <v>1.0373333333333334</v>
      </c>
      <c r="D1377">
        <f t="shared" si="94"/>
        <v>1.3373333333333335</v>
      </c>
      <c r="E1377" s="3">
        <v>5.9</v>
      </c>
      <c r="F1377">
        <f t="shared" si="92"/>
        <v>1.0373333333333334</v>
      </c>
      <c r="G1377">
        <f t="shared" si="93"/>
        <v>4.715151515151516E-2</v>
      </c>
    </row>
    <row r="1378" spans="1:7">
      <c r="A1378" s="1">
        <v>20150611</v>
      </c>
      <c r="B1378" s="1">
        <v>28</v>
      </c>
      <c r="C1378" s="2">
        <f t="shared" si="95"/>
        <v>1.0373333333333334</v>
      </c>
      <c r="D1378">
        <f t="shared" si="94"/>
        <v>1.3373333333333335</v>
      </c>
      <c r="E1378" s="3">
        <v>5.9</v>
      </c>
      <c r="F1378">
        <f t="shared" si="92"/>
        <v>1.0373333333333334</v>
      </c>
      <c r="G1378">
        <f t="shared" si="93"/>
        <v>3.7047619047619051E-2</v>
      </c>
    </row>
    <row r="1379" spans="1:7">
      <c r="A1379" s="1">
        <v>20150611</v>
      </c>
      <c r="B1379" s="1">
        <v>25</v>
      </c>
      <c r="C1379" s="2">
        <f t="shared" si="95"/>
        <v>1.0373333333333334</v>
      </c>
      <c r="D1379">
        <f t="shared" si="94"/>
        <v>1.3373333333333335</v>
      </c>
      <c r="E1379" s="3">
        <v>5.9</v>
      </c>
      <c r="F1379">
        <f t="shared" si="92"/>
        <v>1.0373333333333334</v>
      </c>
      <c r="G1379">
        <f t="shared" si="93"/>
        <v>4.149333333333334E-2</v>
      </c>
    </row>
    <row r="1380" spans="1:7">
      <c r="A1380" s="1">
        <v>20150611</v>
      </c>
      <c r="B1380" s="1">
        <v>20</v>
      </c>
      <c r="C1380" s="2">
        <f t="shared" si="95"/>
        <v>1.0373333333333334</v>
      </c>
      <c r="D1380">
        <f t="shared" si="94"/>
        <v>1.3373333333333335</v>
      </c>
      <c r="E1380" s="3">
        <v>5.9</v>
      </c>
      <c r="F1380">
        <f t="shared" si="92"/>
        <v>1.0373333333333334</v>
      </c>
      <c r="G1380">
        <f t="shared" si="93"/>
        <v>5.1866666666666672E-2</v>
      </c>
    </row>
    <row r="1381" spans="1:7">
      <c r="A1381" s="1">
        <v>20150611</v>
      </c>
      <c r="B1381" s="1">
        <v>24</v>
      </c>
      <c r="C1381" s="2">
        <f t="shared" si="95"/>
        <v>1.0373333333333334</v>
      </c>
      <c r="D1381">
        <f t="shared" si="94"/>
        <v>1.3373333333333335</v>
      </c>
      <c r="E1381" s="3">
        <v>5.9</v>
      </c>
      <c r="F1381">
        <f t="shared" si="92"/>
        <v>1.0373333333333334</v>
      </c>
      <c r="G1381">
        <f t="shared" si="93"/>
        <v>4.3222222222222224E-2</v>
      </c>
    </row>
    <row r="1382" spans="1:7">
      <c r="A1382" s="1">
        <v>20150611</v>
      </c>
      <c r="B1382" s="1">
        <v>24</v>
      </c>
      <c r="C1382" s="2">
        <f t="shared" si="95"/>
        <v>1.3546666666666667</v>
      </c>
      <c r="D1382">
        <f t="shared" si="94"/>
        <v>1.6546666666666667</v>
      </c>
      <c r="E1382" s="3">
        <v>7.3</v>
      </c>
      <c r="F1382">
        <f t="shared" si="92"/>
        <v>1.3546666666666667</v>
      </c>
      <c r="G1382">
        <f t="shared" si="93"/>
        <v>5.6444444444444443E-2</v>
      </c>
    </row>
    <row r="1383" spans="1:7">
      <c r="A1383" s="1">
        <v>20150611</v>
      </c>
      <c r="B1383" s="1">
        <v>46</v>
      </c>
      <c r="C1383" s="2">
        <f t="shared" si="95"/>
        <v>1.3546666666666667</v>
      </c>
      <c r="D1383">
        <f t="shared" si="94"/>
        <v>1.6546666666666667</v>
      </c>
      <c r="E1383" s="3">
        <v>7.3</v>
      </c>
      <c r="F1383">
        <f t="shared" si="92"/>
        <v>1.3546666666666667</v>
      </c>
      <c r="G1383">
        <f t="shared" si="93"/>
        <v>2.9449275362318842E-2</v>
      </c>
    </row>
    <row r="1384" spans="1:7">
      <c r="A1384" s="1">
        <v>20150611</v>
      </c>
      <c r="B1384" s="1">
        <v>31</v>
      </c>
      <c r="C1384" s="2">
        <f t="shared" si="95"/>
        <v>1.3546666666666667</v>
      </c>
      <c r="D1384">
        <f t="shared" si="94"/>
        <v>1.6546666666666667</v>
      </c>
      <c r="E1384" s="3">
        <v>7.3</v>
      </c>
      <c r="F1384">
        <f t="shared" si="92"/>
        <v>1.3546666666666667</v>
      </c>
      <c r="G1384">
        <f t="shared" si="93"/>
        <v>4.3698924731182795E-2</v>
      </c>
    </row>
    <row r="1385" spans="1:7">
      <c r="A1385" s="1">
        <v>20150611</v>
      </c>
      <c r="B1385" s="1">
        <v>14</v>
      </c>
      <c r="C1385" s="2">
        <f t="shared" si="95"/>
        <v>1.3546666666666667</v>
      </c>
      <c r="D1385">
        <f t="shared" si="94"/>
        <v>1.6546666666666667</v>
      </c>
      <c r="E1385" s="3">
        <v>7.3</v>
      </c>
      <c r="F1385">
        <f t="shared" ref="F1385:F1396" si="96">C1385</f>
        <v>1.3546666666666667</v>
      </c>
      <c r="G1385">
        <f t="shared" ref="G1385:G1396" si="97">F1385/B1385</f>
        <v>9.6761904761904757E-2</v>
      </c>
    </row>
    <row r="1386" spans="1:7">
      <c r="A1386" s="1">
        <v>20150611</v>
      </c>
      <c r="B1386" s="1">
        <v>15</v>
      </c>
      <c r="C1386" s="2">
        <f t="shared" si="95"/>
        <v>1.3546666666666667</v>
      </c>
      <c r="D1386">
        <f t="shared" si="94"/>
        <v>1.6546666666666667</v>
      </c>
      <c r="E1386" s="3">
        <v>7.3</v>
      </c>
      <c r="F1386">
        <f t="shared" si="96"/>
        <v>1.3546666666666667</v>
      </c>
      <c r="G1386">
        <f t="shared" si="97"/>
        <v>9.0311111111111106E-2</v>
      </c>
    </row>
    <row r="1387" spans="1:7">
      <c r="A1387" s="1">
        <v>20150611</v>
      </c>
      <c r="B1387" s="1">
        <v>29</v>
      </c>
      <c r="C1387" s="2">
        <f t="shared" si="95"/>
        <v>1.196</v>
      </c>
      <c r="D1387">
        <f t="shared" si="94"/>
        <v>1.496</v>
      </c>
      <c r="E1387" s="3">
        <v>6.6</v>
      </c>
      <c r="F1387">
        <f t="shared" si="96"/>
        <v>1.196</v>
      </c>
      <c r="G1387">
        <f t="shared" si="97"/>
        <v>4.1241379310344828E-2</v>
      </c>
    </row>
    <row r="1388" spans="1:7">
      <c r="A1388" s="1">
        <v>20150611</v>
      </c>
      <c r="B1388" s="1">
        <v>16</v>
      </c>
      <c r="C1388" s="2">
        <f t="shared" si="95"/>
        <v>1.196</v>
      </c>
      <c r="D1388">
        <f t="shared" si="94"/>
        <v>1.496</v>
      </c>
      <c r="E1388" s="3">
        <v>6.6</v>
      </c>
      <c r="F1388">
        <f t="shared" si="96"/>
        <v>1.196</v>
      </c>
      <c r="G1388">
        <f t="shared" si="97"/>
        <v>7.4749999999999997E-2</v>
      </c>
    </row>
    <row r="1389" spans="1:7">
      <c r="A1389" s="1">
        <v>20150611</v>
      </c>
      <c r="B1389" s="1">
        <v>15</v>
      </c>
      <c r="C1389" s="2">
        <f t="shared" si="95"/>
        <v>1.196</v>
      </c>
      <c r="D1389">
        <f t="shared" si="94"/>
        <v>1.496</v>
      </c>
      <c r="E1389" s="3">
        <v>6.6</v>
      </c>
      <c r="F1389">
        <f t="shared" si="96"/>
        <v>1.196</v>
      </c>
      <c r="G1389">
        <f t="shared" si="97"/>
        <v>7.9733333333333337E-2</v>
      </c>
    </row>
    <row r="1390" spans="1:7">
      <c r="A1390" s="1">
        <v>20150611</v>
      </c>
      <c r="B1390" s="1">
        <v>15</v>
      </c>
      <c r="C1390" s="2">
        <f t="shared" si="95"/>
        <v>1.196</v>
      </c>
      <c r="D1390">
        <f t="shared" si="94"/>
        <v>1.496</v>
      </c>
      <c r="E1390" s="3">
        <v>6.6</v>
      </c>
      <c r="F1390">
        <f t="shared" si="96"/>
        <v>1.196</v>
      </c>
      <c r="G1390">
        <f t="shared" si="97"/>
        <v>7.9733333333333337E-2</v>
      </c>
    </row>
    <row r="1391" spans="1:7">
      <c r="A1391" s="1">
        <v>20150611</v>
      </c>
      <c r="B1391" s="1">
        <v>14</v>
      </c>
      <c r="C1391" s="2">
        <f t="shared" si="95"/>
        <v>1.196</v>
      </c>
      <c r="D1391">
        <f t="shared" si="94"/>
        <v>1.496</v>
      </c>
      <c r="E1391" s="3">
        <v>6.6</v>
      </c>
      <c r="F1391">
        <f t="shared" si="96"/>
        <v>1.196</v>
      </c>
      <c r="G1391">
        <f t="shared" si="97"/>
        <v>8.5428571428571423E-2</v>
      </c>
    </row>
    <row r="1392" spans="1:7">
      <c r="A1392" s="1">
        <v>20150611</v>
      </c>
      <c r="B1392" s="1">
        <v>5</v>
      </c>
      <c r="C1392" s="2">
        <f t="shared" si="95"/>
        <v>1.9893333333333334</v>
      </c>
      <c r="D1392">
        <f t="shared" si="94"/>
        <v>2.2893333333333334</v>
      </c>
      <c r="E1392" s="3">
        <v>10.1</v>
      </c>
      <c r="F1392">
        <f t="shared" si="96"/>
        <v>1.9893333333333334</v>
      </c>
      <c r="G1392">
        <f t="shared" si="97"/>
        <v>0.3978666666666667</v>
      </c>
    </row>
    <row r="1393" spans="1:7">
      <c r="A1393" s="1">
        <v>20150611</v>
      </c>
      <c r="B1393" s="1">
        <v>7</v>
      </c>
      <c r="C1393" s="2">
        <f t="shared" si="95"/>
        <v>1.9893333333333334</v>
      </c>
      <c r="D1393">
        <f t="shared" si="94"/>
        <v>2.2893333333333334</v>
      </c>
      <c r="E1393" s="3">
        <v>10.1</v>
      </c>
      <c r="F1393">
        <f t="shared" si="96"/>
        <v>1.9893333333333334</v>
      </c>
      <c r="G1393">
        <f t="shared" si="97"/>
        <v>0.28419047619047622</v>
      </c>
    </row>
    <row r="1394" spans="1:7">
      <c r="A1394" s="1">
        <v>20150611</v>
      </c>
      <c r="B1394" s="1">
        <v>8</v>
      </c>
      <c r="C1394" s="2">
        <f t="shared" si="95"/>
        <v>1.9893333333333334</v>
      </c>
      <c r="D1394">
        <f t="shared" ref="D1394:D1396" si="98">0.17*($H$3/12)*E1394</f>
        <v>2.2893333333333334</v>
      </c>
      <c r="E1394" s="3">
        <v>10.1</v>
      </c>
      <c r="F1394">
        <f t="shared" si="96"/>
        <v>1.9893333333333334</v>
      </c>
      <c r="G1394">
        <f t="shared" si="97"/>
        <v>0.24866666666666667</v>
      </c>
    </row>
    <row r="1395" spans="1:7">
      <c r="A1395" s="1">
        <v>20150611</v>
      </c>
      <c r="B1395" s="1">
        <v>6</v>
      </c>
      <c r="C1395" s="2">
        <f t="shared" si="95"/>
        <v>1.9893333333333334</v>
      </c>
      <c r="D1395">
        <f t="shared" si="98"/>
        <v>2.2893333333333334</v>
      </c>
      <c r="E1395" s="3">
        <v>10.1</v>
      </c>
      <c r="F1395">
        <f t="shared" si="96"/>
        <v>1.9893333333333334</v>
      </c>
      <c r="G1395">
        <f t="shared" si="97"/>
        <v>0.33155555555555555</v>
      </c>
    </row>
    <row r="1396" spans="1:7">
      <c r="A1396" s="1">
        <v>20150611</v>
      </c>
      <c r="B1396" s="1">
        <v>6</v>
      </c>
      <c r="C1396" s="2">
        <f t="shared" ref="C1396" si="99">D1396-$S$46</f>
        <v>1.9893333333333334</v>
      </c>
      <c r="D1396">
        <f t="shared" si="98"/>
        <v>2.2893333333333334</v>
      </c>
      <c r="E1396" s="3">
        <v>10.1</v>
      </c>
      <c r="F1396">
        <f t="shared" si="96"/>
        <v>1.9893333333333334</v>
      </c>
      <c r="G1396">
        <f t="shared" si="97"/>
        <v>0.33155555555555555</v>
      </c>
    </row>
    <row r="1397" spans="1:7">
      <c r="D1397" s="3"/>
    </row>
    <row r="1398" spans="1:7">
      <c r="D1398" s="3"/>
    </row>
    <row r="1399" spans="1:7">
      <c r="D139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597A-4189-D34B-83A7-5CA587B2EAD4}">
  <dimension ref="A1:X67"/>
  <sheetViews>
    <sheetView zoomScale="56" workbookViewId="0">
      <selection activeCell="K45" sqref="K45"/>
    </sheetView>
  </sheetViews>
  <sheetFormatPr baseColWidth="10" defaultColWidth="11" defaultRowHeight="16"/>
  <cols>
    <col min="1" max="1" width="14.1640625" customWidth="1"/>
    <col min="2" max="2" width="16" customWidth="1"/>
    <col min="3" max="3" width="15.83203125" customWidth="1"/>
    <col min="4" max="4" width="12.6640625" customWidth="1"/>
    <col min="5" max="5" width="18.6640625" customWidth="1"/>
    <col min="6" max="6" width="11.83203125" customWidth="1"/>
  </cols>
  <sheetData>
    <row r="1" spans="1:24">
      <c r="A1" s="12" t="s">
        <v>70</v>
      </c>
      <c r="B1" t="s">
        <v>71</v>
      </c>
      <c r="C1" s="10" t="s">
        <v>72</v>
      </c>
      <c r="D1" s="10" t="s">
        <v>73</v>
      </c>
      <c r="E1" s="10" t="s">
        <v>74</v>
      </c>
      <c r="F1" s="10" t="s">
        <v>75</v>
      </c>
      <c r="G1" s="10"/>
      <c r="H1" s="10"/>
      <c r="I1" s="10"/>
      <c r="J1" s="10"/>
      <c r="K1" s="10" t="s">
        <v>76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4">
      <c r="A2" s="14">
        <v>1</v>
      </c>
      <c r="B2" s="15">
        <v>23.8</v>
      </c>
      <c r="C2" s="15">
        <v>31.3</v>
      </c>
      <c r="D2" s="15">
        <v>0</v>
      </c>
      <c r="E2" s="15">
        <v>30</v>
      </c>
      <c r="F2" s="15">
        <v>9.4</v>
      </c>
      <c r="G2" s="15"/>
      <c r="H2" s="15"/>
      <c r="I2" s="11"/>
      <c r="K2" s="10"/>
      <c r="L2" s="11"/>
      <c r="M2" s="11"/>
      <c r="N2" s="11"/>
      <c r="O2" s="11"/>
      <c r="P2" s="11"/>
      <c r="Q2" s="11"/>
      <c r="S2" s="11"/>
      <c r="T2" s="11"/>
      <c r="U2" s="11"/>
      <c r="V2" s="11"/>
      <c r="W2" s="11"/>
      <c r="X2" s="10"/>
    </row>
    <row r="3" spans="1:24">
      <c r="A3" s="14">
        <v>2</v>
      </c>
      <c r="B3" s="15">
        <v>24.1</v>
      </c>
      <c r="C3" s="15">
        <v>31.9</v>
      </c>
      <c r="D3" s="15">
        <v>0</v>
      </c>
      <c r="E3" s="15">
        <v>30</v>
      </c>
      <c r="F3" s="15">
        <v>6.9</v>
      </c>
      <c r="G3" s="15"/>
      <c r="H3" s="15"/>
      <c r="I3" s="11"/>
      <c r="K3" s="10"/>
      <c r="L3" s="11"/>
      <c r="M3" s="11"/>
      <c r="N3" s="11"/>
      <c r="O3" s="11"/>
      <c r="P3" s="11"/>
      <c r="Q3" s="11"/>
      <c r="S3" s="11"/>
      <c r="T3" s="11"/>
      <c r="U3" s="11"/>
      <c r="V3" s="11"/>
      <c r="W3" s="11"/>
      <c r="X3" s="11"/>
    </row>
    <row r="4" spans="1:24">
      <c r="A4" s="14">
        <v>3</v>
      </c>
      <c r="B4" s="15">
        <v>24.6</v>
      </c>
      <c r="C4" s="15">
        <v>32</v>
      </c>
      <c r="D4" s="15">
        <v>0</v>
      </c>
      <c r="E4" s="15">
        <v>29</v>
      </c>
      <c r="F4" s="15">
        <v>6.6</v>
      </c>
      <c r="G4" s="15"/>
      <c r="H4" s="15"/>
      <c r="I4" s="11"/>
      <c r="K4" s="10"/>
      <c r="L4" s="11"/>
      <c r="M4" s="11"/>
      <c r="N4" s="11"/>
      <c r="O4" s="11"/>
      <c r="P4" s="11"/>
      <c r="Q4" s="11"/>
      <c r="S4" s="11"/>
      <c r="T4" s="11"/>
      <c r="U4" s="11"/>
      <c r="V4" s="11"/>
      <c r="W4" s="11"/>
      <c r="X4" s="11"/>
    </row>
    <row r="5" spans="1:24">
      <c r="A5" s="14">
        <v>4</v>
      </c>
      <c r="B5" s="15">
        <v>25.1</v>
      </c>
      <c r="C5" s="15">
        <v>33.4</v>
      </c>
      <c r="D5" s="15">
        <v>0</v>
      </c>
      <c r="E5" s="15">
        <v>27</v>
      </c>
      <c r="F5" s="15">
        <v>7.3</v>
      </c>
      <c r="G5" s="15"/>
      <c r="H5" s="15"/>
      <c r="I5" s="11"/>
      <c r="K5" s="10"/>
      <c r="L5" s="11"/>
      <c r="M5" s="11"/>
      <c r="N5" s="11"/>
      <c r="O5" s="11"/>
      <c r="P5" s="11"/>
      <c r="Q5" s="11"/>
      <c r="S5" s="11"/>
      <c r="T5" s="11"/>
      <c r="U5" s="11"/>
      <c r="V5" s="11"/>
      <c r="W5" s="11"/>
      <c r="X5" s="11"/>
    </row>
    <row r="6" spans="1:24">
      <c r="A6" s="14">
        <v>5</v>
      </c>
      <c r="B6" s="15">
        <v>26.7</v>
      </c>
      <c r="C6" s="15">
        <v>35.9</v>
      </c>
      <c r="D6" s="15">
        <v>0</v>
      </c>
      <c r="E6" s="15">
        <v>24</v>
      </c>
      <c r="F6" s="15">
        <v>9.4</v>
      </c>
      <c r="G6" s="15"/>
      <c r="H6" s="15"/>
      <c r="I6" s="11"/>
      <c r="K6" s="10"/>
      <c r="L6" s="11"/>
      <c r="M6" s="11"/>
      <c r="N6" s="11"/>
      <c r="O6" s="11"/>
      <c r="P6" s="11"/>
      <c r="Q6" s="11"/>
      <c r="S6" s="11"/>
      <c r="T6" s="11"/>
      <c r="U6" s="11"/>
      <c r="V6" s="11"/>
      <c r="W6" s="11"/>
      <c r="X6" s="11"/>
    </row>
    <row r="7" spans="1:24">
      <c r="A7" s="14">
        <v>6</v>
      </c>
      <c r="B7" s="15">
        <v>27.3</v>
      </c>
      <c r="C7" s="15">
        <v>35.9</v>
      </c>
      <c r="D7" s="15">
        <v>0</v>
      </c>
      <c r="E7" s="15">
        <v>25</v>
      </c>
      <c r="F7" s="15">
        <v>13.7</v>
      </c>
      <c r="G7" s="15"/>
      <c r="H7" s="15"/>
      <c r="I7" s="11"/>
      <c r="K7" s="10"/>
      <c r="L7" s="11"/>
      <c r="M7" s="11"/>
      <c r="N7" s="11"/>
      <c r="O7" s="11"/>
      <c r="P7" s="11"/>
      <c r="Q7" s="11"/>
      <c r="S7" s="11"/>
      <c r="T7" s="11"/>
      <c r="U7" s="11"/>
      <c r="V7" s="11"/>
      <c r="W7" s="11"/>
      <c r="X7" s="11"/>
    </row>
    <row r="8" spans="1:24">
      <c r="A8" s="14">
        <v>7</v>
      </c>
      <c r="B8" s="15">
        <v>28.5</v>
      </c>
      <c r="C8" s="15">
        <v>35.200000000000003</v>
      </c>
      <c r="D8" s="15">
        <v>0</v>
      </c>
      <c r="E8" s="15">
        <v>32</v>
      </c>
      <c r="F8" s="15">
        <v>10.5</v>
      </c>
      <c r="G8" s="15"/>
      <c r="H8" s="15"/>
      <c r="I8" s="11"/>
      <c r="K8" s="10"/>
      <c r="L8" s="11"/>
      <c r="M8" s="11"/>
      <c r="N8" s="11"/>
      <c r="O8" s="11"/>
      <c r="P8" s="11"/>
      <c r="Q8" s="11"/>
      <c r="S8" s="11"/>
      <c r="T8" s="11"/>
      <c r="U8" s="11"/>
      <c r="V8" s="11"/>
      <c r="W8" s="11"/>
      <c r="X8" s="11"/>
    </row>
    <row r="9" spans="1:24">
      <c r="A9" s="14">
        <v>8</v>
      </c>
      <c r="B9" s="15">
        <v>26</v>
      </c>
      <c r="C9" s="15">
        <v>32.700000000000003</v>
      </c>
      <c r="D9" s="15">
        <v>3.6</v>
      </c>
      <c r="E9" s="15">
        <v>36</v>
      </c>
      <c r="F9" s="15">
        <v>23.9</v>
      </c>
      <c r="G9" s="15"/>
      <c r="H9" s="15"/>
      <c r="I9" s="11"/>
      <c r="K9" s="10"/>
      <c r="L9" s="11"/>
      <c r="M9" s="11"/>
      <c r="N9" s="11"/>
      <c r="O9" s="11"/>
      <c r="P9" s="11"/>
      <c r="Q9" s="11"/>
      <c r="S9" s="11"/>
      <c r="T9" s="11"/>
      <c r="U9" s="11"/>
      <c r="V9" s="11"/>
      <c r="W9" s="11"/>
      <c r="X9" s="11"/>
    </row>
    <row r="10" spans="1:24">
      <c r="A10" s="14">
        <v>9</v>
      </c>
      <c r="B10" s="15">
        <v>19.5</v>
      </c>
      <c r="C10" s="15">
        <v>24.9</v>
      </c>
      <c r="D10" s="15">
        <v>0</v>
      </c>
      <c r="E10" s="15">
        <v>37</v>
      </c>
      <c r="F10" s="15">
        <v>25.1</v>
      </c>
      <c r="G10" s="15"/>
      <c r="H10" s="15"/>
      <c r="I10" s="11"/>
      <c r="K10" s="10"/>
      <c r="L10" s="13"/>
      <c r="M10" s="11"/>
      <c r="N10" s="11"/>
      <c r="O10" s="11"/>
      <c r="P10" s="11"/>
      <c r="Q10" s="11"/>
      <c r="S10" s="11"/>
      <c r="T10" s="11"/>
      <c r="U10" s="11"/>
      <c r="V10" s="11"/>
      <c r="W10" s="11"/>
      <c r="X10" s="11"/>
    </row>
    <row r="11" spans="1:24">
      <c r="A11" s="14">
        <v>10</v>
      </c>
      <c r="B11" s="15">
        <v>17.100000000000001</v>
      </c>
      <c r="C11" s="15">
        <v>23.7</v>
      </c>
      <c r="D11" s="15">
        <v>0</v>
      </c>
      <c r="E11" s="15">
        <v>26</v>
      </c>
      <c r="F11" s="15">
        <v>17.7</v>
      </c>
      <c r="G11" s="15"/>
      <c r="H11" s="15"/>
      <c r="I11" s="11"/>
      <c r="K11" s="10"/>
      <c r="L11" s="11"/>
      <c r="M11" s="11"/>
      <c r="N11" s="11"/>
      <c r="O11" s="11"/>
      <c r="P11" s="11"/>
      <c r="Q11" s="11"/>
      <c r="S11" s="11"/>
      <c r="T11" s="11"/>
      <c r="U11" s="11"/>
      <c r="V11" s="11"/>
      <c r="W11" s="11"/>
      <c r="X11" s="11"/>
    </row>
    <row r="12" spans="1:24">
      <c r="A12" s="14">
        <v>11</v>
      </c>
      <c r="B12" s="15">
        <v>18</v>
      </c>
      <c r="C12" s="15">
        <v>26.3</v>
      </c>
      <c r="D12" s="15">
        <v>0</v>
      </c>
      <c r="E12" s="15">
        <v>25</v>
      </c>
      <c r="F12" s="15">
        <v>11</v>
      </c>
      <c r="G12" s="15"/>
      <c r="H12" s="15"/>
      <c r="I12" s="11"/>
      <c r="K12" s="10"/>
      <c r="L12" s="11"/>
      <c r="M12" s="11"/>
      <c r="N12" s="11"/>
      <c r="O12" s="11"/>
      <c r="P12" s="11"/>
      <c r="Q12" s="11"/>
      <c r="S12" s="11"/>
      <c r="T12" s="11"/>
      <c r="U12" s="11"/>
      <c r="V12" s="11"/>
      <c r="W12" s="11"/>
      <c r="X12" s="11"/>
    </row>
    <row r="13" spans="1:24">
      <c r="A13" s="14">
        <v>12</v>
      </c>
      <c r="B13" s="15">
        <v>22.5</v>
      </c>
      <c r="C13" s="15">
        <v>31.6</v>
      </c>
      <c r="D13" s="15">
        <v>0</v>
      </c>
      <c r="E13" s="15">
        <v>26</v>
      </c>
      <c r="F13" s="15">
        <v>13.9</v>
      </c>
      <c r="G13" s="15"/>
      <c r="H13" s="15"/>
      <c r="I13" s="11"/>
      <c r="K13" s="10"/>
      <c r="L13" s="11"/>
      <c r="M13" s="11"/>
      <c r="N13" s="11"/>
      <c r="O13" s="11"/>
      <c r="P13" s="11"/>
      <c r="Q13" s="11"/>
      <c r="S13" s="11"/>
      <c r="T13" s="11"/>
      <c r="U13" s="11"/>
      <c r="V13" s="11"/>
      <c r="W13" s="11"/>
      <c r="X13" s="11"/>
    </row>
    <row r="14" spans="1:24">
      <c r="A14" s="14">
        <v>13</v>
      </c>
      <c r="B14" s="15">
        <v>20.9</v>
      </c>
      <c r="C14" s="15">
        <v>24.7</v>
      </c>
      <c r="D14" s="15">
        <v>0</v>
      </c>
      <c r="E14" s="15">
        <v>46</v>
      </c>
      <c r="F14" s="15">
        <v>19.3</v>
      </c>
      <c r="G14" s="15"/>
      <c r="H14" s="15"/>
      <c r="I14" s="11"/>
      <c r="K14" s="10"/>
      <c r="L14" s="11"/>
      <c r="M14" s="11"/>
      <c r="N14" s="11"/>
      <c r="O14" s="11"/>
      <c r="P14" s="11"/>
      <c r="Q14" s="11"/>
      <c r="S14" s="11"/>
      <c r="T14" s="11"/>
      <c r="U14" s="11"/>
      <c r="V14" s="11"/>
      <c r="W14" s="11"/>
      <c r="X14" s="11"/>
    </row>
    <row r="15" spans="1:24">
      <c r="A15" s="14">
        <v>14</v>
      </c>
      <c r="B15" s="15">
        <v>20.3</v>
      </c>
      <c r="C15" s="15">
        <v>25.4</v>
      </c>
      <c r="D15" s="15">
        <v>1</v>
      </c>
      <c r="E15" s="15">
        <v>53</v>
      </c>
      <c r="F15" s="15">
        <v>12.9</v>
      </c>
      <c r="G15" s="15"/>
      <c r="H15" s="15"/>
      <c r="I15" s="11"/>
      <c r="K15" s="10"/>
      <c r="L15" s="11"/>
      <c r="M15" s="11"/>
      <c r="N15" s="11"/>
      <c r="O15" s="11"/>
      <c r="P15" s="11"/>
      <c r="Q15" s="11"/>
      <c r="S15" s="11"/>
      <c r="T15" s="11"/>
      <c r="U15" s="11"/>
      <c r="V15" s="11"/>
      <c r="W15" s="11"/>
      <c r="X15" s="11"/>
    </row>
    <row r="16" spans="1:24">
      <c r="A16" s="14">
        <v>15</v>
      </c>
      <c r="B16" s="15">
        <v>23.5</v>
      </c>
      <c r="C16" s="15">
        <v>28.7</v>
      </c>
      <c r="D16" s="15">
        <v>0</v>
      </c>
      <c r="E16" s="15">
        <v>36</v>
      </c>
      <c r="F16" s="15">
        <v>15.5</v>
      </c>
      <c r="G16" s="15"/>
      <c r="H16" s="15"/>
      <c r="I16" s="11"/>
      <c r="K16" s="10"/>
      <c r="L16" s="11"/>
      <c r="M16" s="11"/>
      <c r="N16" s="11"/>
      <c r="O16" s="11"/>
      <c r="P16" s="11"/>
      <c r="Q16" s="11"/>
      <c r="S16" s="11"/>
      <c r="T16" s="11"/>
      <c r="U16" s="11"/>
      <c r="V16" s="11"/>
      <c r="W16" s="11"/>
      <c r="X16" s="11"/>
    </row>
    <row r="17" spans="1:24">
      <c r="A17" s="14">
        <v>16</v>
      </c>
      <c r="B17" s="15">
        <v>24.2</v>
      </c>
      <c r="C17" s="15">
        <v>32.299999999999997</v>
      </c>
      <c r="D17" s="15">
        <v>0</v>
      </c>
      <c r="E17" s="15">
        <v>29</v>
      </c>
      <c r="F17" s="15">
        <v>9.6999999999999993</v>
      </c>
      <c r="G17" s="15"/>
      <c r="H17" s="15"/>
      <c r="I17" s="11"/>
      <c r="K17" s="10"/>
      <c r="L17" s="11"/>
      <c r="M17" s="11"/>
      <c r="N17" s="11"/>
      <c r="O17" s="11"/>
      <c r="P17" s="11"/>
      <c r="Q17" s="11"/>
      <c r="S17" s="11"/>
      <c r="T17" s="11"/>
      <c r="U17" s="11"/>
      <c r="V17" s="11"/>
      <c r="W17" s="11"/>
      <c r="X17" s="11"/>
    </row>
    <row r="18" spans="1:24">
      <c r="A18" s="14">
        <v>17</v>
      </c>
      <c r="B18" s="15">
        <v>28.3</v>
      </c>
      <c r="C18" s="15">
        <v>36.5</v>
      </c>
      <c r="D18" s="15">
        <v>0</v>
      </c>
      <c r="E18" s="15">
        <v>28</v>
      </c>
      <c r="F18" s="15">
        <v>8.1999999999999993</v>
      </c>
      <c r="G18" s="15"/>
      <c r="H18" s="15"/>
      <c r="I18" s="11"/>
      <c r="K18" s="10"/>
      <c r="L18" s="11"/>
      <c r="M18" s="11"/>
      <c r="N18" s="11"/>
      <c r="O18" s="11"/>
      <c r="P18" s="11"/>
      <c r="Q18" s="11"/>
      <c r="S18" s="11"/>
      <c r="T18" s="11"/>
      <c r="U18" s="11"/>
      <c r="V18" s="11"/>
      <c r="W18" s="11"/>
      <c r="X18" s="11"/>
    </row>
    <row r="19" spans="1:24">
      <c r="A19" s="14">
        <v>18</v>
      </c>
      <c r="B19" s="15">
        <v>27.4</v>
      </c>
      <c r="C19" s="15">
        <v>35.1</v>
      </c>
      <c r="D19" s="15">
        <v>0</v>
      </c>
      <c r="E19" s="15">
        <v>27</v>
      </c>
      <c r="F19" s="15">
        <v>16.7</v>
      </c>
      <c r="G19" s="15"/>
      <c r="H19" s="15"/>
      <c r="I19" s="11"/>
      <c r="K19" s="10"/>
      <c r="L19" s="11"/>
      <c r="M19" s="11"/>
      <c r="N19" s="11"/>
      <c r="O19" s="11"/>
      <c r="P19" s="11"/>
      <c r="Q19" s="11"/>
      <c r="S19" s="11"/>
      <c r="T19" s="11"/>
      <c r="U19" s="11"/>
      <c r="V19" s="11"/>
      <c r="W19" s="11"/>
      <c r="X19" s="11"/>
    </row>
    <row r="20" spans="1:24">
      <c r="A20" s="14">
        <v>19</v>
      </c>
      <c r="B20" s="15">
        <v>28.3</v>
      </c>
      <c r="C20" s="15">
        <v>34.799999999999997</v>
      </c>
      <c r="D20" s="15">
        <v>0</v>
      </c>
      <c r="E20" s="15">
        <v>34</v>
      </c>
      <c r="F20" s="15">
        <v>13</v>
      </c>
      <c r="G20" s="15"/>
      <c r="H20" s="15"/>
      <c r="I20" s="11"/>
      <c r="K20" s="10"/>
      <c r="L20" s="11"/>
      <c r="M20" s="11"/>
      <c r="N20" s="11"/>
      <c r="O20" s="11"/>
      <c r="P20" s="11"/>
      <c r="Q20" s="11"/>
      <c r="S20" s="11"/>
      <c r="T20" s="11"/>
      <c r="U20" s="11"/>
      <c r="V20" s="11"/>
      <c r="W20" s="11"/>
      <c r="X20" s="11"/>
    </row>
    <row r="21" spans="1:24">
      <c r="A21" s="14">
        <v>20</v>
      </c>
      <c r="B21" s="15">
        <v>26.7</v>
      </c>
      <c r="C21" s="15">
        <v>30.8</v>
      </c>
      <c r="D21" s="15">
        <v>0</v>
      </c>
      <c r="E21" s="15">
        <v>33</v>
      </c>
      <c r="F21" s="15">
        <v>15</v>
      </c>
      <c r="G21" s="15"/>
      <c r="H21" s="15"/>
      <c r="I21" s="11"/>
      <c r="K21" s="10"/>
      <c r="L21" s="11"/>
      <c r="M21" s="11"/>
      <c r="N21" s="11"/>
      <c r="O21" s="11"/>
      <c r="P21" s="11"/>
      <c r="Q21" s="11"/>
      <c r="S21" s="11"/>
      <c r="T21" s="11"/>
      <c r="U21" s="11"/>
      <c r="V21" s="11"/>
      <c r="W21" s="11"/>
      <c r="X21" s="11"/>
    </row>
    <row r="22" spans="1:24">
      <c r="A22" s="14">
        <v>21</v>
      </c>
      <c r="B22" s="15">
        <v>26.7</v>
      </c>
      <c r="C22" s="15">
        <v>33.799999999999997</v>
      </c>
      <c r="D22" s="15">
        <v>0</v>
      </c>
      <c r="E22" s="15">
        <v>33</v>
      </c>
      <c r="F22" s="15">
        <v>12.6</v>
      </c>
      <c r="G22" s="15"/>
      <c r="H22" s="15"/>
      <c r="I22" s="11"/>
      <c r="K22" s="10"/>
      <c r="L22" s="11"/>
      <c r="M22" s="11"/>
      <c r="N22" s="11"/>
      <c r="O22" s="11"/>
      <c r="P22" s="11"/>
      <c r="Q22" s="11"/>
      <c r="S22" s="11"/>
      <c r="T22" s="11"/>
      <c r="U22" s="11"/>
      <c r="V22" s="11"/>
      <c r="W22" s="11"/>
      <c r="X22" s="11"/>
    </row>
    <row r="23" spans="1:24">
      <c r="A23" s="14">
        <v>22</v>
      </c>
      <c r="B23" s="15">
        <v>29.5</v>
      </c>
      <c r="C23" s="15">
        <v>36.700000000000003</v>
      </c>
      <c r="D23" s="15">
        <v>0</v>
      </c>
      <c r="E23" s="15">
        <v>28</v>
      </c>
      <c r="F23" s="15">
        <v>10.199999999999999</v>
      </c>
      <c r="G23" s="15"/>
      <c r="H23" s="15"/>
      <c r="I23" s="11"/>
      <c r="K23" s="10"/>
      <c r="L23" s="11"/>
      <c r="M23" s="11"/>
      <c r="N23" s="11"/>
      <c r="O23" s="11"/>
      <c r="P23" s="11"/>
      <c r="Q23" s="11"/>
      <c r="S23" s="11"/>
      <c r="T23" s="11"/>
      <c r="U23" s="11"/>
      <c r="V23" s="11"/>
      <c r="W23" s="11"/>
      <c r="X23" s="11"/>
    </row>
    <row r="24" spans="1:24">
      <c r="A24" s="14">
        <v>23</v>
      </c>
      <c r="B24" s="15">
        <v>27.8</v>
      </c>
      <c r="C24" s="15">
        <v>35.200000000000003</v>
      </c>
      <c r="D24" s="15">
        <v>0</v>
      </c>
      <c r="E24" s="15">
        <v>35</v>
      </c>
      <c r="F24" s="15">
        <v>20.6</v>
      </c>
      <c r="G24" s="15"/>
      <c r="H24" s="15"/>
      <c r="I24" s="11"/>
      <c r="K24" s="10"/>
      <c r="L24" s="11"/>
      <c r="M24" s="11"/>
      <c r="N24" s="11"/>
      <c r="O24" s="11"/>
      <c r="P24" s="11"/>
      <c r="Q24" s="11"/>
      <c r="S24" s="11"/>
      <c r="T24" s="11"/>
      <c r="U24" s="11"/>
      <c r="V24" s="11"/>
      <c r="W24" s="11"/>
      <c r="X24" s="11"/>
    </row>
    <row r="25" spans="1:24">
      <c r="A25" s="14">
        <v>24</v>
      </c>
      <c r="B25" s="15">
        <v>26.6</v>
      </c>
      <c r="C25" s="15">
        <v>34.299999999999997</v>
      </c>
      <c r="D25" s="15">
        <v>0</v>
      </c>
      <c r="E25" s="15">
        <v>34</v>
      </c>
      <c r="F25" s="15">
        <v>14.5</v>
      </c>
      <c r="G25" s="15"/>
      <c r="H25" s="15"/>
      <c r="I25" s="11"/>
      <c r="K25" s="10"/>
      <c r="L25" s="11"/>
      <c r="M25" s="11"/>
      <c r="N25" s="11"/>
      <c r="O25" s="11"/>
      <c r="P25" s="11"/>
      <c r="Q25" s="11"/>
      <c r="S25" s="11"/>
      <c r="T25" s="11"/>
      <c r="U25" s="11"/>
      <c r="V25" s="11"/>
      <c r="W25" s="11"/>
      <c r="X25" s="11"/>
    </row>
    <row r="26" spans="1:24">
      <c r="A26" s="14">
        <v>25</v>
      </c>
      <c r="B26" s="15">
        <v>26.5</v>
      </c>
      <c r="C26" s="15">
        <v>32.6</v>
      </c>
      <c r="D26" s="15">
        <v>1</v>
      </c>
      <c r="E26" s="15">
        <v>35</v>
      </c>
      <c r="F26" s="15">
        <v>26.7</v>
      </c>
      <c r="G26" s="15"/>
      <c r="H26" s="15"/>
      <c r="I26" s="11"/>
      <c r="K26" s="10"/>
      <c r="L26" s="11"/>
      <c r="M26" s="11"/>
      <c r="N26" s="11"/>
      <c r="O26" s="11"/>
      <c r="P26" s="11"/>
      <c r="Q26" s="11"/>
      <c r="S26" s="11"/>
      <c r="T26" s="11"/>
      <c r="U26" s="11"/>
      <c r="V26" s="11"/>
      <c r="W26" s="11"/>
      <c r="X26" s="11"/>
    </row>
    <row r="27" spans="1:24">
      <c r="A27" s="14">
        <v>26</v>
      </c>
      <c r="B27" s="15">
        <v>21.3</v>
      </c>
      <c r="C27" s="15">
        <v>26.9</v>
      </c>
      <c r="D27" s="15">
        <v>0.6</v>
      </c>
      <c r="E27" s="15">
        <v>27</v>
      </c>
      <c r="F27" s="15">
        <v>23.8</v>
      </c>
      <c r="G27" s="15"/>
      <c r="H27" s="15"/>
      <c r="I27" s="11"/>
      <c r="K27" s="10"/>
      <c r="L27" s="11"/>
      <c r="M27" s="11"/>
      <c r="N27" s="11"/>
      <c r="O27" s="11"/>
      <c r="P27" s="11"/>
      <c r="Q27" s="11"/>
      <c r="S27" s="11"/>
      <c r="T27" s="11"/>
      <c r="U27" s="11"/>
      <c r="V27" s="11"/>
      <c r="W27" s="11"/>
      <c r="X27" s="11"/>
    </row>
    <row r="28" spans="1:24">
      <c r="A28" s="14">
        <v>27</v>
      </c>
      <c r="B28" s="15">
        <v>17</v>
      </c>
      <c r="C28" s="15">
        <v>21.4</v>
      </c>
      <c r="D28" s="15">
        <v>0.2</v>
      </c>
      <c r="E28" s="15">
        <v>51</v>
      </c>
      <c r="F28" s="15">
        <v>8.9</v>
      </c>
      <c r="G28" s="15"/>
      <c r="H28" s="15"/>
      <c r="I28" s="11"/>
      <c r="K28" s="10"/>
      <c r="L28" s="11"/>
      <c r="M28" s="11"/>
      <c r="N28" s="11"/>
      <c r="O28" s="11"/>
      <c r="P28" s="11"/>
      <c r="Q28" s="11"/>
      <c r="S28" s="11"/>
      <c r="T28" s="11"/>
      <c r="U28" s="11"/>
      <c r="V28" s="11"/>
      <c r="W28" s="11"/>
      <c r="X28" s="11"/>
    </row>
    <row r="29" spans="1:24">
      <c r="A29" s="14">
        <v>28</v>
      </c>
      <c r="B29" s="15">
        <v>19.600000000000001</v>
      </c>
      <c r="C29" s="15">
        <v>25.7</v>
      </c>
      <c r="D29" s="15">
        <v>0.2</v>
      </c>
      <c r="E29" s="15">
        <v>39</v>
      </c>
      <c r="F29" s="15">
        <v>22.2</v>
      </c>
      <c r="G29" s="15"/>
      <c r="H29" s="15"/>
      <c r="I29" s="11"/>
      <c r="K29" s="10"/>
      <c r="L29" s="11"/>
      <c r="M29" s="11"/>
      <c r="N29" s="11"/>
      <c r="O29" s="11"/>
      <c r="P29" s="11"/>
      <c r="Q29" s="11"/>
      <c r="S29" s="11"/>
      <c r="T29" s="11"/>
      <c r="U29" s="11"/>
      <c r="V29" s="11"/>
      <c r="W29" s="11"/>
      <c r="X29" s="11"/>
    </row>
    <row r="30" spans="1:24">
      <c r="A30" s="14">
        <v>29</v>
      </c>
      <c r="B30" s="15">
        <v>17.399999999999999</v>
      </c>
      <c r="C30" s="15">
        <v>20.100000000000001</v>
      </c>
      <c r="D30" s="15">
        <v>0.8</v>
      </c>
      <c r="E30" s="15">
        <v>66</v>
      </c>
      <c r="F30" s="15">
        <v>9.4</v>
      </c>
      <c r="G30" s="15"/>
      <c r="H30" s="15"/>
      <c r="I30" s="11"/>
      <c r="K30" s="10"/>
      <c r="L30" s="11"/>
      <c r="M30" s="11"/>
      <c r="N30" s="11"/>
      <c r="O30" s="11"/>
      <c r="P30" s="11"/>
      <c r="Q30" s="11"/>
      <c r="S30" s="11"/>
      <c r="T30" s="11"/>
      <c r="U30" s="11"/>
      <c r="V30" s="11"/>
      <c r="W30" s="11"/>
      <c r="X30" s="11"/>
    </row>
    <row r="31" spans="1:24">
      <c r="A31" s="14">
        <v>30</v>
      </c>
      <c r="B31" s="15">
        <v>19.399999999999999</v>
      </c>
      <c r="C31" s="15">
        <v>25</v>
      </c>
      <c r="D31" s="15">
        <v>0.4</v>
      </c>
      <c r="E31" s="15">
        <v>30</v>
      </c>
      <c r="F31" s="15">
        <v>12.9</v>
      </c>
      <c r="G31" s="15"/>
      <c r="H31" s="15"/>
      <c r="I31" s="11"/>
      <c r="K31" s="10"/>
      <c r="L31" s="11"/>
      <c r="M31" s="11"/>
      <c r="N31" s="11"/>
      <c r="O31" s="11"/>
      <c r="P31" s="11"/>
      <c r="Q31" s="11"/>
      <c r="S31" s="11"/>
      <c r="T31" s="11"/>
      <c r="U31" s="11"/>
      <c r="V31" s="11"/>
      <c r="W31" s="11"/>
      <c r="X31" s="11"/>
    </row>
    <row r="32" spans="1:24">
      <c r="A32" s="14">
        <v>31</v>
      </c>
      <c r="B32" s="15">
        <v>18.899999999999999</v>
      </c>
      <c r="C32" s="15">
        <v>25.9</v>
      </c>
      <c r="D32" s="15">
        <v>0</v>
      </c>
      <c r="E32" s="15">
        <v>24</v>
      </c>
      <c r="F32" s="15">
        <v>11.3</v>
      </c>
      <c r="G32" s="15"/>
      <c r="H32" s="15"/>
      <c r="I32" s="11"/>
      <c r="J32" s="11"/>
      <c r="K32" s="10"/>
      <c r="L32" s="11"/>
      <c r="M32" s="11"/>
      <c r="N32" s="11"/>
      <c r="O32" s="11"/>
      <c r="P32" s="11"/>
      <c r="Q32" s="11"/>
      <c r="S32" s="11"/>
      <c r="T32" s="11"/>
      <c r="U32" s="11"/>
      <c r="V32" s="11"/>
      <c r="W32" s="11"/>
      <c r="X32" s="11"/>
    </row>
    <row r="33" spans="1:24">
      <c r="C33" s="15"/>
      <c r="E33" s="15"/>
      <c r="F33" s="15"/>
      <c r="G33" s="15"/>
      <c r="L33" s="10"/>
      <c r="M33" s="11"/>
      <c r="N33" s="11"/>
      <c r="O33" s="11"/>
      <c r="P33" s="11"/>
      <c r="Q33" s="11"/>
      <c r="R33" s="11"/>
      <c r="S33" s="11"/>
      <c r="T33" s="11"/>
    </row>
    <row r="34" spans="1:24">
      <c r="A34" s="16" t="s">
        <v>77</v>
      </c>
      <c r="B34" t="s">
        <v>71</v>
      </c>
      <c r="C34" s="14" t="s">
        <v>72</v>
      </c>
      <c r="D34" s="14" t="s">
        <v>73</v>
      </c>
      <c r="E34" s="14" t="s">
        <v>74</v>
      </c>
      <c r="F34" s="14" t="s">
        <v>75</v>
      </c>
      <c r="G34" s="14" t="s">
        <v>78</v>
      </c>
      <c r="H34" s="14" t="s">
        <v>79</v>
      </c>
      <c r="K34" s="14" t="s">
        <v>80</v>
      </c>
      <c r="W34" s="10"/>
    </row>
    <row r="35" spans="1:24">
      <c r="A35" s="14">
        <v>1</v>
      </c>
      <c r="B35" s="15">
        <v>24.4</v>
      </c>
      <c r="C35" s="15">
        <v>23.4</v>
      </c>
      <c r="D35" s="15">
        <v>0</v>
      </c>
      <c r="E35" s="15">
        <v>41</v>
      </c>
      <c r="F35" s="15">
        <v>11</v>
      </c>
      <c r="G35" s="15">
        <v>14.1</v>
      </c>
      <c r="H35" s="15">
        <v>5.77</v>
      </c>
      <c r="J35" s="10"/>
      <c r="X35" s="10"/>
    </row>
    <row r="36" spans="1:24">
      <c r="A36" s="14">
        <v>2</v>
      </c>
      <c r="B36" s="15">
        <v>24</v>
      </c>
      <c r="C36" s="15">
        <v>21.4</v>
      </c>
      <c r="D36" s="15">
        <v>13.2</v>
      </c>
      <c r="E36" s="15">
        <v>48</v>
      </c>
      <c r="F36" s="15">
        <v>18.7</v>
      </c>
      <c r="G36" s="15">
        <v>8.3000000000000007</v>
      </c>
      <c r="H36" s="15">
        <v>4.57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/>
    </row>
    <row r="37" spans="1:24">
      <c r="A37" s="14">
        <v>3</v>
      </c>
      <c r="B37" s="15">
        <v>20.9</v>
      </c>
      <c r="C37" s="15">
        <v>23.9</v>
      </c>
      <c r="D37" s="15">
        <v>0</v>
      </c>
      <c r="E37" s="15">
        <v>62</v>
      </c>
      <c r="F37" s="15">
        <v>14.5</v>
      </c>
      <c r="G37" s="15">
        <v>4.0999999999999996</v>
      </c>
      <c r="H37" s="15">
        <v>3</v>
      </c>
      <c r="J37" s="10"/>
      <c r="K37" s="10"/>
      <c r="L37" s="11"/>
      <c r="M37" s="11"/>
      <c r="N37" s="11"/>
      <c r="O37" s="11"/>
      <c r="P37" s="11"/>
      <c r="Q37" s="11"/>
      <c r="S37" s="11"/>
      <c r="T37" s="11"/>
      <c r="U37" s="11"/>
      <c r="V37" s="11"/>
      <c r="W37" s="11"/>
      <c r="X37" s="11"/>
    </row>
    <row r="38" spans="1:24">
      <c r="A38" s="14">
        <v>4</v>
      </c>
      <c r="B38" s="15">
        <v>22.2</v>
      </c>
      <c r="C38" s="15">
        <v>25.3</v>
      </c>
      <c r="D38" s="15">
        <v>0</v>
      </c>
      <c r="E38" s="15">
        <v>34</v>
      </c>
      <c r="F38" s="15">
        <v>13.5</v>
      </c>
      <c r="G38" s="15">
        <v>14.1</v>
      </c>
      <c r="H38" s="15">
        <v>6.12</v>
      </c>
      <c r="J38" s="10"/>
      <c r="K38" s="10"/>
      <c r="L38" s="11"/>
      <c r="M38" s="11"/>
      <c r="N38" s="11"/>
      <c r="O38" s="11"/>
      <c r="P38" s="11"/>
      <c r="Q38" s="11"/>
      <c r="S38" s="11"/>
      <c r="T38" s="11"/>
      <c r="U38" s="11"/>
      <c r="V38" s="11"/>
      <c r="W38" s="11"/>
      <c r="X38" s="11"/>
    </row>
    <row r="39" spans="1:24">
      <c r="A39" s="14">
        <v>5</v>
      </c>
      <c r="B39" s="15">
        <v>23.1</v>
      </c>
      <c r="C39" s="15">
        <v>18.7</v>
      </c>
      <c r="D39" s="15">
        <v>0</v>
      </c>
      <c r="E39" s="15">
        <v>38</v>
      </c>
      <c r="F39" s="15">
        <v>11.9</v>
      </c>
      <c r="G39" s="15">
        <v>14.2</v>
      </c>
      <c r="H39" s="15">
        <v>5.84</v>
      </c>
      <c r="J39" s="10"/>
      <c r="K39" s="10"/>
      <c r="L39" s="11"/>
      <c r="M39" s="11"/>
      <c r="N39" s="11"/>
      <c r="O39" s="11"/>
      <c r="P39" s="11"/>
      <c r="Q39" s="11"/>
      <c r="S39" s="11"/>
      <c r="T39" s="11"/>
      <c r="U39" s="11"/>
      <c r="V39" s="11"/>
      <c r="W39" s="11"/>
      <c r="X39" s="11"/>
    </row>
    <row r="40" spans="1:24">
      <c r="A40" s="14">
        <v>6</v>
      </c>
      <c r="B40" s="15">
        <v>23.4</v>
      </c>
      <c r="C40" s="15">
        <v>26.2</v>
      </c>
      <c r="D40" s="15">
        <v>0.2</v>
      </c>
      <c r="E40" s="15">
        <v>39</v>
      </c>
      <c r="F40" s="15">
        <v>24.3</v>
      </c>
      <c r="G40" s="15">
        <v>8.1</v>
      </c>
      <c r="H40" s="15">
        <v>5.03</v>
      </c>
      <c r="J40" s="10"/>
      <c r="K40" s="10"/>
      <c r="L40" s="11"/>
      <c r="M40" s="11"/>
      <c r="N40" s="11"/>
      <c r="O40" s="11"/>
      <c r="P40" s="11"/>
      <c r="Q40" s="11"/>
      <c r="S40" s="11"/>
      <c r="T40" s="11"/>
      <c r="U40" s="11"/>
      <c r="V40" s="11"/>
      <c r="W40" s="11"/>
      <c r="X40" s="11"/>
    </row>
    <row r="41" spans="1:24">
      <c r="A41" s="14">
        <v>7</v>
      </c>
      <c r="B41" s="15">
        <v>17.899999999999999</v>
      </c>
      <c r="C41" s="15">
        <v>27.4</v>
      </c>
      <c r="D41" s="15">
        <v>1.6</v>
      </c>
      <c r="E41" s="15">
        <v>40</v>
      </c>
      <c r="F41" s="15">
        <v>19</v>
      </c>
      <c r="G41" s="15">
        <v>8.1</v>
      </c>
      <c r="H41" s="15">
        <v>5.21</v>
      </c>
      <c r="J41" s="10"/>
      <c r="K41" s="10"/>
      <c r="L41" s="11"/>
      <c r="M41" s="11"/>
      <c r="N41" s="11"/>
      <c r="O41" s="11"/>
      <c r="P41" s="11"/>
      <c r="Q41" s="11"/>
      <c r="S41" s="11"/>
      <c r="T41" s="11"/>
      <c r="U41" s="11"/>
      <c r="V41" s="11"/>
      <c r="W41" s="11"/>
      <c r="X41" s="11"/>
    </row>
    <row r="42" spans="1:24">
      <c r="A42" s="14">
        <v>8</v>
      </c>
      <c r="B42" s="15">
        <v>17.899999999999999</v>
      </c>
      <c r="C42" s="15">
        <v>19.600000000000001</v>
      </c>
      <c r="D42" s="15">
        <v>0</v>
      </c>
      <c r="E42" s="15">
        <v>35</v>
      </c>
      <c r="F42" s="15">
        <v>13.4</v>
      </c>
      <c r="G42" s="15">
        <v>9.1999999999999993</v>
      </c>
      <c r="H42" s="15">
        <v>4.6500000000000004</v>
      </c>
      <c r="J42" s="10"/>
      <c r="K42" s="10"/>
      <c r="L42" s="11"/>
      <c r="M42" s="11"/>
      <c r="N42" s="11"/>
      <c r="O42" s="11"/>
      <c r="P42" s="11"/>
      <c r="Q42" s="11"/>
      <c r="S42" s="11"/>
      <c r="T42" s="11"/>
      <c r="U42" s="11"/>
      <c r="V42" s="11"/>
      <c r="W42" s="11"/>
      <c r="X42" s="11"/>
    </row>
    <row r="43" spans="1:24">
      <c r="A43" s="14">
        <v>9</v>
      </c>
      <c r="B43" s="15">
        <v>21.4</v>
      </c>
      <c r="C43" s="15">
        <v>24.4</v>
      </c>
      <c r="D43" s="15">
        <v>0</v>
      </c>
      <c r="E43" s="15">
        <v>48</v>
      </c>
      <c r="F43" s="15">
        <v>13.9</v>
      </c>
      <c r="G43" s="15">
        <v>8.6999999999999993</v>
      </c>
      <c r="H43" s="15">
        <v>4.83</v>
      </c>
      <c r="J43" s="10"/>
      <c r="K43" s="10"/>
      <c r="L43" s="11"/>
      <c r="M43" s="11"/>
      <c r="N43" s="11"/>
      <c r="O43" s="11"/>
      <c r="P43" s="11"/>
      <c r="Q43" s="11"/>
      <c r="S43" s="11"/>
      <c r="T43" s="11"/>
      <c r="U43" s="11"/>
      <c r="V43" s="11"/>
      <c r="W43" s="11"/>
      <c r="X43" s="11"/>
    </row>
    <row r="44" spans="1:24">
      <c r="A44" s="14">
        <v>10</v>
      </c>
      <c r="B44" s="15">
        <v>25.4</v>
      </c>
      <c r="C44" s="15">
        <v>20.100000000000001</v>
      </c>
      <c r="D44" s="15">
        <v>0</v>
      </c>
      <c r="E44" s="15">
        <v>30</v>
      </c>
      <c r="F44" s="15">
        <v>15.1</v>
      </c>
      <c r="G44" s="15">
        <v>13.9</v>
      </c>
      <c r="H44" s="15">
        <v>6.86</v>
      </c>
      <c r="J44" s="10"/>
      <c r="K44" s="10"/>
      <c r="L44" s="11"/>
      <c r="M44" s="11"/>
      <c r="N44" s="11"/>
      <c r="O44" s="11"/>
      <c r="P44" s="11"/>
      <c r="Q44" s="11"/>
      <c r="S44" s="11"/>
      <c r="T44" s="11"/>
      <c r="U44" s="11"/>
      <c r="V44" s="11"/>
      <c r="W44" s="11"/>
      <c r="X44" s="11"/>
    </row>
    <row r="45" spans="1:24">
      <c r="A45" s="14">
        <v>11</v>
      </c>
      <c r="B45" s="15">
        <v>20.100000000000001</v>
      </c>
      <c r="C45" s="15">
        <v>24.3</v>
      </c>
      <c r="D45" s="15">
        <v>5.4</v>
      </c>
      <c r="E45" s="15">
        <v>51</v>
      </c>
      <c r="F45" s="15">
        <v>29.2</v>
      </c>
      <c r="G45" s="15">
        <v>7.1</v>
      </c>
      <c r="H45" s="15">
        <v>4.04</v>
      </c>
      <c r="J45" s="10"/>
      <c r="K45" s="10"/>
      <c r="L45" s="11"/>
      <c r="M45" s="11"/>
      <c r="N45" s="11"/>
      <c r="O45" s="11"/>
      <c r="P45" s="11"/>
      <c r="Q45" s="11"/>
      <c r="S45" s="11"/>
      <c r="T45" s="11"/>
      <c r="U45" s="11"/>
      <c r="V45" s="11"/>
      <c r="W45" s="11"/>
      <c r="X45" s="11"/>
    </row>
    <row r="46" spans="1:24">
      <c r="A46" s="14">
        <v>12</v>
      </c>
      <c r="B46" s="15">
        <v>17.3</v>
      </c>
      <c r="C46" s="15">
        <v>27.4</v>
      </c>
      <c r="D46" s="15">
        <v>0</v>
      </c>
      <c r="E46" s="15">
        <v>34</v>
      </c>
      <c r="F46" s="15">
        <v>17.5</v>
      </c>
      <c r="G46" s="15">
        <v>12.7</v>
      </c>
      <c r="H46" s="15">
        <v>5.51</v>
      </c>
      <c r="J46" s="10"/>
      <c r="K46" s="10"/>
      <c r="L46" s="11"/>
      <c r="M46" s="11"/>
      <c r="N46" s="11"/>
      <c r="O46" s="11"/>
      <c r="P46" s="11"/>
      <c r="Q46" s="11"/>
      <c r="S46" s="11"/>
      <c r="T46" s="11"/>
      <c r="U46" s="11"/>
      <c r="V46" s="11"/>
      <c r="W46" s="11"/>
      <c r="X46" s="11"/>
    </row>
    <row r="47" spans="1:24">
      <c r="A47" s="14">
        <v>13</v>
      </c>
      <c r="B47" s="15">
        <v>17.399999999999999</v>
      </c>
      <c r="C47" s="15">
        <v>29.9</v>
      </c>
      <c r="D47" s="15">
        <v>0</v>
      </c>
      <c r="E47" s="15">
        <v>31</v>
      </c>
      <c r="F47" s="15">
        <v>14.5</v>
      </c>
      <c r="G47" s="15">
        <v>11.4</v>
      </c>
      <c r="H47" s="15">
        <v>5.31</v>
      </c>
      <c r="J47" s="10"/>
      <c r="K47" s="10"/>
      <c r="L47" s="11"/>
      <c r="M47" s="11"/>
      <c r="N47" s="11"/>
      <c r="O47" s="11"/>
      <c r="P47" s="11"/>
      <c r="Q47" s="11"/>
      <c r="S47" s="11"/>
      <c r="T47" s="11"/>
      <c r="U47" s="11"/>
      <c r="V47" s="11"/>
      <c r="W47" s="11"/>
      <c r="X47" s="11"/>
    </row>
    <row r="48" spans="1:24">
      <c r="A48" s="14">
        <v>14</v>
      </c>
      <c r="B48" s="15">
        <v>17.8</v>
      </c>
      <c r="C48" s="15">
        <v>30.2</v>
      </c>
      <c r="D48" s="15">
        <v>0</v>
      </c>
      <c r="E48" s="15">
        <v>32</v>
      </c>
      <c r="F48" s="15">
        <v>7.7</v>
      </c>
      <c r="G48" s="15">
        <v>10.4</v>
      </c>
      <c r="H48" s="15">
        <v>4.3899999999999997</v>
      </c>
      <c r="J48" s="10"/>
      <c r="K48" s="10"/>
      <c r="L48" s="11"/>
      <c r="M48" s="11"/>
      <c r="N48" s="11"/>
      <c r="O48" s="11"/>
      <c r="P48" s="11"/>
      <c r="Q48" s="11"/>
      <c r="S48" s="11"/>
      <c r="T48" s="11"/>
      <c r="U48" s="11"/>
      <c r="V48" s="11"/>
      <c r="W48" s="11"/>
      <c r="X48" s="11"/>
    </row>
    <row r="49" spans="1:24">
      <c r="A49" s="14">
        <v>15</v>
      </c>
      <c r="B49" s="15">
        <v>19.8</v>
      </c>
      <c r="C49" s="15">
        <v>27.6</v>
      </c>
      <c r="D49" s="15">
        <v>0</v>
      </c>
      <c r="E49" s="15">
        <v>32</v>
      </c>
      <c r="F49" s="15">
        <v>10.7</v>
      </c>
      <c r="G49" s="15">
        <v>11.9</v>
      </c>
      <c r="H49" s="15">
        <v>5.23</v>
      </c>
      <c r="J49" s="10"/>
      <c r="K49" s="10"/>
      <c r="L49" s="11"/>
      <c r="M49" s="11"/>
      <c r="N49" s="11"/>
      <c r="O49" s="11"/>
      <c r="P49" s="11"/>
      <c r="Q49" s="11"/>
      <c r="S49" s="11"/>
      <c r="T49" s="11"/>
      <c r="U49" s="11"/>
      <c r="V49" s="11"/>
      <c r="W49" s="11"/>
      <c r="X49" s="11"/>
    </row>
    <row r="50" spans="1:24">
      <c r="A50" s="14">
        <v>16</v>
      </c>
      <c r="B50" s="15">
        <v>19.100000000000001</v>
      </c>
      <c r="C50" s="15">
        <v>23.1</v>
      </c>
      <c r="D50" s="15">
        <v>0</v>
      </c>
      <c r="E50" s="15">
        <v>50</v>
      </c>
      <c r="F50" s="15">
        <v>20.9</v>
      </c>
      <c r="G50" s="15">
        <v>4</v>
      </c>
      <c r="H50" s="15">
        <v>3.84</v>
      </c>
      <c r="J50" s="10"/>
      <c r="K50" s="10"/>
      <c r="L50" s="11"/>
      <c r="M50" s="11"/>
      <c r="N50" s="11"/>
      <c r="O50" s="11"/>
      <c r="P50" s="11"/>
      <c r="Q50" s="11"/>
      <c r="S50" s="11"/>
      <c r="T50" s="11"/>
      <c r="U50" s="11"/>
      <c r="V50" s="11"/>
      <c r="W50" s="11"/>
      <c r="X50" s="11"/>
    </row>
    <row r="51" spans="1:24">
      <c r="A51" s="14">
        <v>17</v>
      </c>
      <c r="B51" s="15">
        <v>18.5</v>
      </c>
      <c r="C51" s="15">
        <v>26.5</v>
      </c>
      <c r="D51" s="15">
        <v>4.2</v>
      </c>
      <c r="E51" s="15">
        <v>33</v>
      </c>
      <c r="F51" s="15">
        <v>17.399999999999999</v>
      </c>
      <c r="G51" s="15">
        <v>11.3</v>
      </c>
      <c r="H51" s="15">
        <v>5.26</v>
      </c>
      <c r="J51" s="10"/>
      <c r="K51" s="10"/>
      <c r="L51" s="11"/>
      <c r="M51" s="11"/>
      <c r="N51" s="11"/>
      <c r="O51" s="11"/>
      <c r="P51" s="11"/>
      <c r="Q51" s="11"/>
      <c r="S51" s="11"/>
      <c r="T51" s="11"/>
      <c r="U51" s="11"/>
      <c r="V51" s="11"/>
      <c r="W51" s="11"/>
      <c r="X51" s="11"/>
    </row>
    <row r="52" spans="1:24">
      <c r="A52" s="14">
        <v>18</v>
      </c>
      <c r="B52" s="15">
        <v>16.600000000000001</v>
      </c>
      <c r="C52" s="15">
        <v>20.5</v>
      </c>
      <c r="D52" s="15">
        <v>10</v>
      </c>
      <c r="E52" s="15">
        <v>73</v>
      </c>
      <c r="F52" s="15">
        <v>5.9</v>
      </c>
      <c r="G52" s="15">
        <v>0.9</v>
      </c>
      <c r="H52" s="15">
        <v>1.42</v>
      </c>
      <c r="J52" s="10"/>
      <c r="K52" s="10"/>
      <c r="L52" s="11"/>
      <c r="M52" s="11"/>
      <c r="N52" s="11"/>
      <c r="O52" s="11"/>
      <c r="P52" s="11"/>
      <c r="Q52" s="11"/>
      <c r="S52" s="11"/>
      <c r="T52" s="11"/>
      <c r="U52" s="11"/>
      <c r="V52" s="11"/>
      <c r="W52" s="11"/>
      <c r="X52" s="11"/>
    </row>
    <row r="53" spans="1:24">
      <c r="A53" s="14">
        <v>19</v>
      </c>
      <c r="B53" s="15">
        <v>19.8</v>
      </c>
      <c r="C53" s="15">
        <v>19.7</v>
      </c>
      <c r="D53" s="15">
        <v>0.6</v>
      </c>
      <c r="E53" s="15">
        <v>50</v>
      </c>
      <c r="F53" s="15">
        <v>6.6</v>
      </c>
      <c r="G53" s="15">
        <v>2.6</v>
      </c>
      <c r="H53" s="15">
        <v>2.74</v>
      </c>
      <c r="J53" s="10"/>
      <c r="K53" s="10"/>
      <c r="L53" s="11"/>
      <c r="M53" s="11"/>
      <c r="N53" s="11"/>
      <c r="O53" s="11"/>
      <c r="P53" s="11"/>
      <c r="Q53" s="11"/>
      <c r="S53" s="11"/>
      <c r="T53" s="11"/>
      <c r="U53" s="11"/>
      <c r="V53" s="11"/>
      <c r="W53" s="11"/>
      <c r="X53" s="11"/>
    </row>
    <row r="54" spans="1:24">
      <c r="A54" s="14">
        <v>20</v>
      </c>
      <c r="B54" s="15">
        <v>21.2</v>
      </c>
      <c r="C54" s="15">
        <v>17.3</v>
      </c>
      <c r="D54" s="15">
        <v>1</v>
      </c>
      <c r="E54" s="15">
        <v>37</v>
      </c>
      <c r="F54" s="15">
        <v>25.1</v>
      </c>
      <c r="G54" s="15">
        <v>11.9</v>
      </c>
      <c r="H54" s="15">
        <v>4.9000000000000004</v>
      </c>
      <c r="J54" s="10"/>
      <c r="K54" s="10"/>
      <c r="L54" s="11"/>
      <c r="M54" s="11"/>
      <c r="N54" s="11"/>
      <c r="O54" s="11"/>
      <c r="P54" s="11"/>
      <c r="Q54" s="11"/>
      <c r="S54" s="11"/>
      <c r="T54" s="11"/>
      <c r="U54" s="11"/>
      <c r="V54" s="11"/>
      <c r="W54" s="11"/>
      <c r="X54" s="11"/>
    </row>
    <row r="55" spans="1:24">
      <c r="A55" s="14">
        <v>21</v>
      </c>
      <c r="B55" s="15">
        <v>21.7</v>
      </c>
      <c r="C55" s="15">
        <v>23.7</v>
      </c>
      <c r="D55" s="15">
        <v>0.2</v>
      </c>
      <c r="E55" s="15">
        <v>49</v>
      </c>
      <c r="F55" s="15">
        <v>12.9</v>
      </c>
      <c r="G55" s="15">
        <v>11.2</v>
      </c>
      <c r="H55" s="15">
        <v>4.42</v>
      </c>
      <c r="J55" s="10"/>
      <c r="K55" s="10"/>
      <c r="L55" s="11"/>
      <c r="M55" s="11"/>
      <c r="N55" s="11"/>
      <c r="O55" s="11"/>
      <c r="P55" s="11"/>
      <c r="Q55" s="11"/>
      <c r="S55" s="11"/>
      <c r="T55" s="11"/>
      <c r="U55" s="11"/>
      <c r="V55" s="11"/>
      <c r="W55" s="11"/>
      <c r="X55" s="11"/>
    </row>
    <row r="56" spans="1:24">
      <c r="A56" s="14">
        <v>22</v>
      </c>
      <c r="B56" s="15">
        <v>21.7</v>
      </c>
      <c r="C56" s="15">
        <v>22.6</v>
      </c>
      <c r="D56" s="15">
        <v>0.2</v>
      </c>
      <c r="E56" s="15">
        <v>31</v>
      </c>
      <c r="F56" s="15">
        <v>13.4</v>
      </c>
      <c r="G56" s="15">
        <v>10.4</v>
      </c>
      <c r="H56" s="15">
        <v>5.03</v>
      </c>
      <c r="J56" s="10"/>
      <c r="K56" s="10"/>
      <c r="L56" s="11"/>
      <c r="M56" s="11"/>
      <c r="N56" s="11"/>
      <c r="O56" s="11"/>
      <c r="P56" s="11"/>
      <c r="Q56" s="11"/>
      <c r="S56" s="11"/>
      <c r="T56" s="11"/>
      <c r="U56" s="11"/>
      <c r="V56" s="11"/>
      <c r="W56" s="11"/>
      <c r="X56" s="11"/>
    </row>
    <row r="57" spans="1:24">
      <c r="A57" s="14">
        <v>23</v>
      </c>
      <c r="B57" s="15">
        <v>21.4</v>
      </c>
      <c r="C57" s="15">
        <v>24.9</v>
      </c>
      <c r="D57" s="15">
        <v>0</v>
      </c>
      <c r="E57" s="15">
        <v>32</v>
      </c>
      <c r="F57" s="15">
        <v>6.2</v>
      </c>
      <c r="G57" s="15">
        <v>8.6</v>
      </c>
      <c r="H57" s="15">
        <v>4.17</v>
      </c>
      <c r="J57" s="10"/>
      <c r="K57" s="10"/>
      <c r="L57" s="11"/>
      <c r="M57" s="11"/>
      <c r="N57" s="11"/>
      <c r="O57" s="11"/>
      <c r="P57" s="11"/>
      <c r="Q57" s="11"/>
      <c r="S57" s="11"/>
      <c r="T57" s="11"/>
      <c r="U57" s="11"/>
      <c r="V57" s="11"/>
      <c r="W57" s="11"/>
      <c r="X57" s="11"/>
    </row>
    <row r="58" spans="1:24">
      <c r="A58" s="14">
        <v>24</v>
      </c>
      <c r="B58" s="15">
        <v>20.6</v>
      </c>
      <c r="C58" s="15">
        <v>25.7</v>
      </c>
      <c r="D58" s="15">
        <v>0.2</v>
      </c>
      <c r="E58" s="15">
        <v>42</v>
      </c>
      <c r="F58" s="15">
        <v>16.100000000000001</v>
      </c>
      <c r="G58" s="15">
        <v>5.8</v>
      </c>
      <c r="H58" s="15">
        <v>3.63</v>
      </c>
      <c r="J58" s="10"/>
      <c r="K58" s="10"/>
      <c r="L58" s="11"/>
      <c r="M58" s="11"/>
      <c r="N58" s="11"/>
      <c r="O58" s="11"/>
      <c r="P58" s="11"/>
      <c r="Q58" s="11"/>
      <c r="S58" s="11"/>
      <c r="T58" s="11"/>
      <c r="U58" s="11"/>
      <c r="V58" s="11"/>
      <c r="W58" s="11"/>
      <c r="X58" s="11"/>
    </row>
    <row r="59" spans="1:24">
      <c r="A59" s="14">
        <v>25</v>
      </c>
      <c r="B59" s="15">
        <v>19.899999999999999</v>
      </c>
      <c r="C59" s="15">
        <v>27.4</v>
      </c>
      <c r="D59" s="15">
        <v>0</v>
      </c>
      <c r="E59" s="15">
        <v>43</v>
      </c>
      <c r="F59" s="15">
        <v>14.7</v>
      </c>
      <c r="G59" s="15">
        <v>3.1</v>
      </c>
      <c r="H59" s="15">
        <v>2.54</v>
      </c>
      <c r="J59" s="10"/>
      <c r="K59" s="10"/>
      <c r="L59" s="11"/>
      <c r="M59" s="11"/>
      <c r="N59" s="11"/>
      <c r="O59" s="11"/>
      <c r="P59" s="11"/>
      <c r="Q59" s="11"/>
      <c r="S59" s="11"/>
      <c r="T59" s="11"/>
      <c r="U59" s="11"/>
      <c r="V59" s="11"/>
      <c r="W59" s="11"/>
      <c r="X59" s="11"/>
    </row>
    <row r="60" spans="1:24">
      <c r="A60" s="14">
        <v>26</v>
      </c>
      <c r="B60" s="15">
        <v>22</v>
      </c>
      <c r="C60" s="15">
        <v>28.3</v>
      </c>
      <c r="D60" s="15">
        <v>0</v>
      </c>
      <c r="E60" s="15">
        <v>44</v>
      </c>
      <c r="F60" s="15">
        <v>7</v>
      </c>
      <c r="G60" s="15">
        <v>8.8000000000000007</v>
      </c>
      <c r="H60" s="15">
        <v>3.58</v>
      </c>
      <c r="J60" s="10"/>
      <c r="K60" s="10"/>
      <c r="L60" s="11"/>
      <c r="M60" s="11"/>
      <c r="N60" s="11"/>
      <c r="O60" s="11"/>
      <c r="P60" s="11"/>
      <c r="Q60" s="11"/>
      <c r="S60" s="11"/>
      <c r="T60" s="11"/>
      <c r="U60" s="11"/>
      <c r="V60" s="11"/>
      <c r="W60" s="11"/>
      <c r="X60" s="11"/>
    </row>
    <row r="61" spans="1:24">
      <c r="A61" s="14">
        <v>27</v>
      </c>
      <c r="B61" s="15">
        <v>22.9</v>
      </c>
      <c r="C61" s="15">
        <v>30.8</v>
      </c>
      <c r="D61" s="15">
        <v>0</v>
      </c>
      <c r="E61" s="15">
        <v>32</v>
      </c>
      <c r="F61" s="15">
        <v>4.8</v>
      </c>
      <c r="G61" s="15">
        <v>11.5</v>
      </c>
      <c r="H61" s="15">
        <v>4.2699999999999996</v>
      </c>
      <c r="J61" s="10"/>
      <c r="K61" s="10"/>
      <c r="L61" s="11"/>
      <c r="M61" s="11"/>
      <c r="N61" s="11"/>
      <c r="O61" s="11"/>
      <c r="P61" s="11"/>
      <c r="Q61" s="11"/>
      <c r="S61" s="11"/>
      <c r="T61" s="11"/>
      <c r="U61" s="11"/>
      <c r="V61" s="11"/>
      <c r="W61" s="11"/>
      <c r="X61" s="11"/>
    </row>
    <row r="62" spans="1:24">
      <c r="A62" s="14">
        <v>28</v>
      </c>
      <c r="B62" s="15">
        <v>25</v>
      </c>
      <c r="C62" s="15">
        <v>32.200000000000003</v>
      </c>
      <c r="D62" s="15">
        <v>5.2</v>
      </c>
      <c r="E62" s="15">
        <v>37</v>
      </c>
      <c r="F62" s="15">
        <v>32.5</v>
      </c>
      <c r="G62" s="15">
        <v>13.8</v>
      </c>
      <c r="H62" s="15">
        <v>6.05</v>
      </c>
      <c r="J62" s="10"/>
      <c r="K62" s="10"/>
      <c r="L62" s="11"/>
      <c r="M62" s="11"/>
      <c r="N62" s="11"/>
      <c r="O62" s="11"/>
      <c r="P62" s="11"/>
      <c r="Q62" s="11"/>
      <c r="S62" s="11"/>
      <c r="T62" s="11"/>
      <c r="U62" s="11"/>
      <c r="V62" s="11"/>
      <c r="W62" s="11"/>
      <c r="X62" s="11"/>
    </row>
    <row r="63" spans="1:24">
      <c r="A63" s="14">
        <v>29</v>
      </c>
      <c r="B63" s="15">
        <v>23.8</v>
      </c>
      <c r="C63" s="15">
        <v>27.1</v>
      </c>
      <c r="D63" s="15">
        <v>1</v>
      </c>
      <c r="E63" s="15">
        <v>42</v>
      </c>
      <c r="F63" s="15">
        <v>9.3000000000000007</v>
      </c>
      <c r="G63" s="15">
        <v>7.4</v>
      </c>
      <c r="H63" s="15">
        <v>3.78</v>
      </c>
      <c r="J63" s="10"/>
      <c r="K63" s="10"/>
      <c r="L63" s="11"/>
      <c r="M63" s="11"/>
      <c r="N63" s="11"/>
      <c r="O63" s="11"/>
      <c r="P63" s="11"/>
      <c r="Q63" s="11"/>
      <c r="S63" s="11"/>
      <c r="T63" s="11"/>
      <c r="U63" s="11"/>
      <c r="V63" s="11"/>
      <c r="W63" s="11"/>
      <c r="X63" s="11"/>
    </row>
    <row r="64" spans="1:24">
      <c r="A64" s="14">
        <v>30</v>
      </c>
      <c r="B64" s="15">
        <v>24.3</v>
      </c>
      <c r="C64" s="15">
        <v>27.3</v>
      </c>
      <c r="D64" s="15">
        <v>0</v>
      </c>
      <c r="E64" s="15">
        <v>24</v>
      </c>
      <c r="F64" s="15">
        <v>4.5</v>
      </c>
      <c r="G64" s="15">
        <v>13.4</v>
      </c>
      <c r="H64" s="15">
        <v>5.16</v>
      </c>
      <c r="J64" s="10"/>
      <c r="K64" s="10"/>
      <c r="L64" s="11"/>
      <c r="M64" s="11"/>
      <c r="N64" s="11"/>
      <c r="O64" s="11"/>
      <c r="P64" s="11"/>
      <c r="Q64" s="11"/>
      <c r="S64" s="11"/>
      <c r="T64" s="11"/>
      <c r="U64" s="11"/>
      <c r="V64" s="11"/>
      <c r="W64" s="11"/>
      <c r="X64" s="11"/>
    </row>
    <row r="65" spans="1:24">
      <c r="A65" s="14">
        <v>31</v>
      </c>
      <c r="B65" s="15">
        <v>24</v>
      </c>
      <c r="D65" s="15">
        <v>0</v>
      </c>
      <c r="E65" s="15">
        <v>30</v>
      </c>
      <c r="F65" s="15">
        <v>17.2</v>
      </c>
      <c r="G65" s="15">
        <v>13.7</v>
      </c>
      <c r="H65" s="15">
        <v>5.87</v>
      </c>
      <c r="J65" s="10"/>
      <c r="K65" s="10"/>
      <c r="L65" s="11"/>
      <c r="M65" s="11"/>
      <c r="N65" s="11"/>
      <c r="O65" s="11"/>
      <c r="P65" s="11"/>
      <c r="Q65" s="11"/>
      <c r="S65" s="11"/>
      <c r="T65" s="11"/>
      <c r="U65" s="11"/>
      <c r="V65" s="11"/>
      <c r="W65" s="11"/>
      <c r="X65" s="11"/>
    </row>
    <row r="66" spans="1:24">
      <c r="J66" s="10"/>
      <c r="K66" s="10"/>
      <c r="L66" s="11"/>
      <c r="M66" s="11"/>
      <c r="N66" s="11"/>
      <c r="O66" s="11"/>
      <c r="P66" s="11"/>
      <c r="Q66" s="11"/>
      <c r="S66" s="11"/>
      <c r="T66" s="11"/>
      <c r="U66" s="11"/>
      <c r="V66" s="11"/>
      <c r="W66" s="11"/>
      <c r="X66" s="11"/>
    </row>
    <row r="67" spans="1:24">
      <c r="K67" s="10"/>
      <c r="L67" s="11"/>
      <c r="M67" s="11"/>
      <c r="N67" s="11"/>
      <c r="O67" s="11"/>
      <c r="P67" s="11"/>
      <c r="Q67" s="11"/>
      <c r="S6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1863-5887-0A4A-B6FC-70C73DCB2960}">
  <dimension ref="A1:K518"/>
  <sheetViews>
    <sheetView zoomScaleNormal="100" workbookViewId="0">
      <selection activeCell="J7" sqref="J7"/>
    </sheetView>
  </sheetViews>
  <sheetFormatPr baseColWidth="10" defaultColWidth="11" defaultRowHeight="16"/>
  <cols>
    <col min="1" max="10" width="10.83203125" style="2"/>
    <col min="11" max="11" width="10.83203125" style="17"/>
  </cols>
  <sheetData>
    <row r="1" spans="1:11">
      <c r="A1" s="2" t="s">
        <v>81</v>
      </c>
      <c r="B1" s="19" t="s">
        <v>82</v>
      </c>
      <c r="C1" s="19" t="s">
        <v>83</v>
      </c>
      <c r="D1" s="19" t="s">
        <v>84</v>
      </c>
      <c r="E1" s="19" t="s">
        <v>85</v>
      </c>
      <c r="F1" s="19" t="s">
        <v>86</v>
      </c>
      <c r="G1" s="19" t="s">
        <v>87</v>
      </c>
      <c r="H1" s="19" t="s">
        <v>88</v>
      </c>
      <c r="I1" s="19"/>
      <c r="J1" s="2" t="s">
        <v>83</v>
      </c>
      <c r="K1" s="19" t="s">
        <v>89</v>
      </c>
    </row>
    <row r="2" spans="1:11">
      <c r="A2" s="2" t="s">
        <v>90</v>
      </c>
      <c r="B2" s="20" t="s">
        <v>91</v>
      </c>
      <c r="C2" s="21">
        <v>86.2</v>
      </c>
      <c r="D2" s="21">
        <v>26.2</v>
      </c>
      <c r="E2" s="21">
        <v>94.3</v>
      </c>
      <c r="F2" s="21">
        <v>5.0999999999999996</v>
      </c>
      <c r="G2" s="21">
        <v>8.1999999999999993</v>
      </c>
      <c r="H2" s="21" t="s">
        <v>92</v>
      </c>
      <c r="I2" s="21"/>
      <c r="J2" s="2" t="s">
        <v>84</v>
      </c>
      <c r="K2" s="22" t="s">
        <v>93</v>
      </c>
    </row>
    <row r="3" spans="1:11">
      <c r="A3" s="2" t="s">
        <v>94</v>
      </c>
      <c r="B3" s="20" t="s">
        <v>95</v>
      </c>
      <c r="C3" s="21">
        <v>90.6</v>
      </c>
      <c r="D3" s="21">
        <v>35.4</v>
      </c>
      <c r="E3" s="21">
        <v>669.1</v>
      </c>
      <c r="F3" s="21">
        <v>6.7</v>
      </c>
      <c r="G3" s="21" t="s">
        <v>96</v>
      </c>
      <c r="H3" s="21" t="s">
        <v>97</v>
      </c>
      <c r="I3" s="21"/>
      <c r="J3" s="2" t="s">
        <v>85</v>
      </c>
      <c r="K3" s="22" t="s">
        <v>98</v>
      </c>
    </row>
    <row r="4" spans="1:11">
      <c r="A4" s="2" t="s">
        <v>94</v>
      </c>
      <c r="B4" s="20" t="s">
        <v>99</v>
      </c>
      <c r="C4" s="21">
        <v>90.6</v>
      </c>
      <c r="D4" s="21">
        <v>43.7</v>
      </c>
      <c r="E4" s="21">
        <v>686.9</v>
      </c>
      <c r="F4" s="21">
        <v>6.7</v>
      </c>
      <c r="G4" s="21">
        <v>14.6</v>
      </c>
      <c r="H4" s="21" t="s">
        <v>97</v>
      </c>
      <c r="I4" s="21"/>
      <c r="J4" s="2" t="s">
        <v>86</v>
      </c>
      <c r="K4" s="22" t="s">
        <v>100</v>
      </c>
    </row>
    <row r="5" spans="1:11">
      <c r="A5" s="2" t="s">
        <v>90</v>
      </c>
      <c r="B5" s="20" t="s">
        <v>91</v>
      </c>
      <c r="C5" s="21">
        <v>91.7</v>
      </c>
      <c r="D5" s="21">
        <v>33.299999999999997</v>
      </c>
      <c r="E5" s="21">
        <v>77.5</v>
      </c>
      <c r="F5" s="21" t="s">
        <v>101</v>
      </c>
      <c r="G5" s="21">
        <v>8.3000000000000007</v>
      </c>
      <c r="H5" s="21" t="s">
        <v>102</v>
      </c>
      <c r="I5" s="21"/>
      <c r="J5" s="2" t="s">
        <v>88</v>
      </c>
      <c r="K5" s="22" t="s">
        <v>103</v>
      </c>
    </row>
    <row r="6" spans="1:11">
      <c r="A6" s="2" t="s">
        <v>90</v>
      </c>
      <c r="B6" s="20" t="s">
        <v>104</v>
      </c>
      <c r="C6" s="21">
        <v>89.3</v>
      </c>
      <c r="D6" s="21">
        <v>51.3</v>
      </c>
      <c r="E6" s="21">
        <v>102.2</v>
      </c>
      <c r="F6" s="21">
        <v>9.6</v>
      </c>
      <c r="G6" s="21">
        <v>11.4</v>
      </c>
      <c r="H6" s="21" t="s">
        <v>105</v>
      </c>
      <c r="I6" s="21"/>
      <c r="J6" s="21"/>
      <c r="K6" s="18"/>
    </row>
    <row r="7" spans="1:11">
      <c r="A7" s="2" t="s">
        <v>106</v>
      </c>
      <c r="B7" s="20" t="s">
        <v>104</v>
      </c>
      <c r="C7" s="21">
        <v>92.3</v>
      </c>
      <c r="D7" s="21">
        <v>85.3</v>
      </c>
      <c r="E7" s="21" t="s">
        <v>107</v>
      </c>
      <c r="F7" s="21">
        <v>14.7</v>
      </c>
      <c r="G7" s="21">
        <v>22.2</v>
      </c>
      <c r="H7" s="21" t="s">
        <v>108</v>
      </c>
      <c r="I7" s="21"/>
      <c r="J7" s="21"/>
      <c r="K7" s="18"/>
    </row>
    <row r="8" spans="1:11">
      <c r="A8" s="2" t="s">
        <v>106</v>
      </c>
      <c r="B8" s="20" t="s">
        <v>109</v>
      </c>
      <c r="C8" s="21">
        <v>92.3</v>
      </c>
      <c r="D8" s="21">
        <v>88.9</v>
      </c>
      <c r="E8" s="21">
        <v>495.6</v>
      </c>
      <c r="F8" s="21">
        <v>8.5</v>
      </c>
      <c r="G8" s="21">
        <v>24.1</v>
      </c>
      <c r="H8" s="21" t="s">
        <v>110</v>
      </c>
      <c r="I8" s="21"/>
      <c r="J8" s="21"/>
      <c r="K8" s="18"/>
    </row>
    <row r="9" spans="1:11">
      <c r="A9" s="2" t="s">
        <v>106</v>
      </c>
      <c r="B9" s="20" t="s">
        <v>109</v>
      </c>
      <c r="C9" s="21">
        <v>91.5</v>
      </c>
      <c r="D9" s="21">
        <v>145.4</v>
      </c>
      <c r="E9" s="21">
        <v>608.20000000000005</v>
      </c>
      <c r="F9" s="21">
        <v>10.7</v>
      </c>
      <c r="G9" s="21" t="s">
        <v>111</v>
      </c>
      <c r="H9" s="21" t="s">
        <v>112</v>
      </c>
      <c r="I9" s="21"/>
      <c r="J9" s="21"/>
      <c r="K9" s="18"/>
    </row>
    <row r="10" spans="1:11">
      <c r="A10" s="2" t="s">
        <v>113</v>
      </c>
      <c r="B10" s="20" t="s">
        <v>95</v>
      </c>
      <c r="C10" s="21" t="s">
        <v>114</v>
      </c>
      <c r="D10" s="21">
        <v>129.5</v>
      </c>
      <c r="E10" s="21">
        <v>692.6</v>
      </c>
      <c r="F10" s="21">
        <v>7</v>
      </c>
      <c r="G10" s="21">
        <v>13.1</v>
      </c>
      <c r="H10" s="21" t="s">
        <v>115</v>
      </c>
      <c r="I10" s="21"/>
      <c r="J10" s="21"/>
      <c r="K10" s="18"/>
    </row>
    <row r="11" spans="1:11">
      <c r="A11" s="2" t="s">
        <v>113</v>
      </c>
      <c r="B11" s="20" t="s">
        <v>99</v>
      </c>
      <c r="C11" s="21">
        <v>92.5</v>
      </c>
      <c r="D11" s="21" t="s">
        <v>116</v>
      </c>
      <c r="E11" s="21">
        <v>698.6</v>
      </c>
      <c r="F11" s="21">
        <v>7.1</v>
      </c>
      <c r="G11" s="21">
        <v>22.8</v>
      </c>
      <c r="H11" s="21" t="s">
        <v>117</v>
      </c>
      <c r="I11" s="21"/>
      <c r="J11" s="21"/>
      <c r="K11" s="18"/>
    </row>
    <row r="12" spans="1:11">
      <c r="A12" s="2" t="s">
        <v>113</v>
      </c>
      <c r="B12" s="20" t="s">
        <v>99</v>
      </c>
      <c r="C12" s="21">
        <v>92.5</v>
      </c>
      <c r="D12" s="21" t="s">
        <v>116</v>
      </c>
      <c r="E12" s="21">
        <v>698.6</v>
      </c>
      <c r="F12" s="21">
        <v>7.1</v>
      </c>
      <c r="G12" s="21">
        <v>17.8</v>
      </c>
      <c r="H12" s="21" t="s">
        <v>92</v>
      </c>
      <c r="I12" s="21"/>
      <c r="J12" s="21"/>
      <c r="K12" s="18"/>
    </row>
    <row r="13" spans="1:11">
      <c r="A13" s="2" t="s">
        <v>113</v>
      </c>
      <c r="B13" s="20" t="s">
        <v>99</v>
      </c>
      <c r="C13" s="21">
        <v>92.8</v>
      </c>
      <c r="D13" s="21">
        <v>73.2</v>
      </c>
      <c r="E13" s="21" t="s">
        <v>118</v>
      </c>
      <c r="F13" s="21">
        <v>22.6</v>
      </c>
      <c r="G13" s="21">
        <v>19.3</v>
      </c>
      <c r="H13" s="21" t="s">
        <v>119</v>
      </c>
      <c r="I13" s="21"/>
      <c r="J13" s="21"/>
      <c r="K13" s="18"/>
    </row>
    <row r="14" spans="1:11">
      <c r="A14" s="2" t="s">
        <v>106</v>
      </c>
      <c r="B14" s="20" t="s">
        <v>91</v>
      </c>
      <c r="C14" s="21">
        <v>63.5</v>
      </c>
      <c r="D14" s="21">
        <v>70.8</v>
      </c>
      <c r="E14" s="21">
        <v>665.3</v>
      </c>
      <c r="F14" s="21">
        <v>0.8</v>
      </c>
      <c r="G14" s="21" t="s">
        <v>120</v>
      </c>
      <c r="H14" s="21" t="s">
        <v>121</v>
      </c>
      <c r="I14" s="21"/>
      <c r="J14" s="21"/>
      <c r="K14" s="18"/>
    </row>
    <row r="15" spans="1:11">
      <c r="A15" s="2" t="s">
        <v>113</v>
      </c>
      <c r="B15" s="20" t="s">
        <v>109</v>
      </c>
      <c r="C15" s="21">
        <v>90.9</v>
      </c>
      <c r="D15" s="21">
        <v>126.5</v>
      </c>
      <c r="E15" s="21">
        <v>686.5</v>
      </c>
      <c r="F15" s="21" t="s">
        <v>122</v>
      </c>
      <c r="G15" s="21">
        <v>21.3</v>
      </c>
      <c r="H15" s="21" t="s">
        <v>123</v>
      </c>
      <c r="I15" s="21"/>
      <c r="J15" s="21"/>
      <c r="K15" s="18"/>
    </row>
    <row r="16" spans="1:11">
      <c r="A16" s="2" t="s">
        <v>113</v>
      </c>
      <c r="B16" s="20" t="s">
        <v>124</v>
      </c>
      <c r="C16" s="21">
        <v>92.9</v>
      </c>
      <c r="D16" s="21">
        <v>133.30000000000001</v>
      </c>
      <c r="E16" s="21">
        <v>699.6</v>
      </c>
      <c r="F16" s="21">
        <v>9.1999999999999993</v>
      </c>
      <c r="G16" s="21">
        <v>26.4</v>
      </c>
      <c r="H16" s="21" t="s">
        <v>125</v>
      </c>
      <c r="I16" s="21"/>
      <c r="J16" s="21"/>
      <c r="K16" s="18"/>
    </row>
    <row r="17" spans="1:11">
      <c r="A17" s="2" t="s">
        <v>113</v>
      </c>
      <c r="B17" s="20" t="s">
        <v>91</v>
      </c>
      <c r="C17" s="21">
        <v>93.3</v>
      </c>
      <c r="D17" s="21">
        <v>141.19999999999999</v>
      </c>
      <c r="E17" s="21">
        <v>713.9</v>
      </c>
      <c r="F17" s="21">
        <v>13.9</v>
      </c>
      <c r="G17" s="21">
        <v>22.9</v>
      </c>
      <c r="H17" s="21" t="s">
        <v>126</v>
      </c>
      <c r="I17" s="21"/>
      <c r="J17" s="21"/>
      <c r="K17" s="18"/>
    </row>
    <row r="18" spans="1:11">
      <c r="A18" s="2" t="s">
        <v>90</v>
      </c>
      <c r="B18" s="20" t="s">
        <v>99</v>
      </c>
      <c r="C18" s="21">
        <v>91.7</v>
      </c>
      <c r="D18" s="21">
        <v>35.799999999999997</v>
      </c>
      <c r="E18" s="21">
        <v>80.8</v>
      </c>
      <c r="F18" s="21">
        <v>7.8</v>
      </c>
      <c r="G18" s="21">
        <v>15.1</v>
      </c>
      <c r="H18" s="21" t="s">
        <v>110</v>
      </c>
      <c r="I18" s="21"/>
      <c r="J18" s="21"/>
      <c r="K18" s="18"/>
    </row>
    <row r="19" spans="1:11">
      <c r="A19" s="2" t="s">
        <v>94</v>
      </c>
      <c r="B19" s="20" t="s">
        <v>109</v>
      </c>
      <c r="C19" s="21">
        <v>84.9</v>
      </c>
      <c r="D19" s="21">
        <v>32.799999999999997</v>
      </c>
      <c r="E19" s="21">
        <v>664.2</v>
      </c>
      <c r="F19" s="21" t="s">
        <v>127</v>
      </c>
      <c r="G19" s="21">
        <v>16.7</v>
      </c>
      <c r="H19" s="21" t="s">
        <v>128</v>
      </c>
      <c r="I19" s="21"/>
      <c r="J19" s="21"/>
      <c r="K19" s="18"/>
    </row>
    <row r="20" spans="1:11">
      <c r="A20" s="2" t="s">
        <v>90</v>
      </c>
      <c r="B20" s="20" t="s">
        <v>124</v>
      </c>
      <c r="C20" s="21">
        <v>89.2</v>
      </c>
      <c r="D20" s="21">
        <v>27.9</v>
      </c>
      <c r="E20" s="21">
        <v>70.8</v>
      </c>
      <c r="F20" s="21">
        <v>6.3</v>
      </c>
      <c r="G20" s="21">
        <v>15.9</v>
      </c>
      <c r="H20" s="21" t="s">
        <v>129</v>
      </c>
      <c r="I20" s="21"/>
      <c r="J20" s="21"/>
      <c r="K20" s="18"/>
    </row>
    <row r="21" spans="1:11">
      <c r="A21" s="2" t="s">
        <v>130</v>
      </c>
      <c r="B21" s="20" t="s">
        <v>99</v>
      </c>
      <c r="C21" s="21">
        <v>86.3</v>
      </c>
      <c r="D21" s="21">
        <v>27.4</v>
      </c>
      <c r="E21" s="21">
        <v>97.1</v>
      </c>
      <c r="F21" s="21">
        <v>5.0999999999999996</v>
      </c>
      <c r="G21" s="21">
        <v>9.3000000000000007</v>
      </c>
      <c r="H21" s="21" t="s">
        <v>126</v>
      </c>
      <c r="I21" s="21"/>
      <c r="J21" s="21"/>
      <c r="K21" s="18"/>
    </row>
    <row r="22" spans="1:11">
      <c r="A22" s="2" t="s">
        <v>113</v>
      </c>
      <c r="B22" s="20" t="s">
        <v>95</v>
      </c>
      <c r="C22" s="21" t="s">
        <v>114</v>
      </c>
      <c r="D22" s="21">
        <v>129.5</v>
      </c>
      <c r="E22" s="21">
        <v>692.6</v>
      </c>
      <c r="F22" s="21" t="s">
        <v>122</v>
      </c>
      <c r="G22" s="21">
        <v>18.3</v>
      </c>
      <c r="H22" s="21" t="s">
        <v>117</v>
      </c>
      <c r="I22" s="21"/>
      <c r="J22" s="21"/>
      <c r="K22" s="18"/>
    </row>
    <row r="23" spans="1:11">
      <c r="A23" s="2" t="s">
        <v>113</v>
      </c>
      <c r="B23" s="20" t="s">
        <v>109</v>
      </c>
      <c r="C23" s="21">
        <v>91.8</v>
      </c>
      <c r="D23" s="21">
        <v>78.5</v>
      </c>
      <c r="E23" s="21">
        <v>724.3</v>
      </c>
      <c r="F23" s="21">
        <v>9.1999999999999993</v>
      </c>
      <c r="G23" s="21">
        <v>19.100000000000001</v>
      </c>
      <c r="H23" s="21" t="s">
        <v>119</v>
      </c>
      <c r="I23" s="21"/>
      <c r="J23" s="21"/>
      <c r="K23" s="18"/>
    </row>
    <row r="24" spans="1:11">
      <c r="A24" s="2" t="s">
        <v>131</v>
      </c>
      <c r="B24" s="20" t="s">
        <v>104</v>
      </c>
      <c r="C24" s="21">
        <v>94.3</v>
      </c>
      <c r="D24" s="21">
        <v>96.3</v>
      </c>
      <c r="E24" s="21" t="s">
        <v>132</v>
      </c>
      <c r="F24" s="21">
        <v>56.1</v>
      </c>
      <c r="G24" s="21" t="s">
        <v>125</v>
      </c>
      <c r="H24" s="21" t="s">
        <v>126</v>
      </c>
      <c r="I24" s="21"/>
      <c r="J24" s="21"/>
      <c r="K24" s="18"/>
    </row>
    <row r="25" spans="1:11">
      <c r="A25" s="2" t="s">
        <v>106</v>
      </c>
      <c r="B25" s="20" t="s">
        <v>99</v>
      </c>
      <c r="C25" s="21">
        <v>90.2</v>
      </c>
      <c r="D25" s="21">
        <v>110.9</v>
      </c>
      <c r="E25" s="21">
        <v>537.4</v>
      </c>
      <c r="F25" s="21">
        <v>6.2</v>
      </c>
      <c r="G25" s="21">
        <v>19.5</v>
      </c>
      <c r="H25" s="21" t="s">
        <v>133</v>
      </c>
      <c r="I25" s="21"/>
      <c r="J25" s="21"/>
      <c r="K25" s="18"/>
    </row>
    <row r="26" spans="1:11">
      <c r="A26" s="2" t="s">
        <v>106</v>
      </c>
      <c r="B26" s="20" t="s">
        <v>99</v>
      </c>
      <c r="C26" s="21">
        <v>93.5</v>
      </c>
      <c r="D26" s="21">
        <v>139.4</v>
      </c>
      <c r="E26" s="21">
        <v>594.20000000000005</v>
      </c>
      <c r="F26" s="21">
        <v>20.3</v>
      </c>
      <c r="G26" s="21">
        <v>23.7</v>
      </c>
      <c r="H26" s="21" t="s">
        <v>134</v>
      </c>
      <c r="I26" s="21"/>
      <c r="J26" s="21"/>
      <c r="K26" s="18"/>
    </row>
    <row r="27" spans="1:11">
      <c r="A27" s="2" t="s">
        <v>106</v>
      </c>
      <c r="B27" s="20" t="s">
        <v>104</v>
      </c>
      <c r="C27" s="21">
        <v>91.4</v>
      </c>
      <c r="D27" s="21">
        <v>142.4</v>
      </c>
      <c r="E27" s="21">
        <v>601.4</v>
      </c>
      <c r="F27" s="21">
        <v>10.6</v>
      </c>
      <c r="G27" s="21">
        <v>16.3</v>
      </c>
      <c r="H27" s="21" t="s">
        <v>135</v>
      </c>
      <c r="I27" s="21"/>
      <c r="J27" s="21"/>
      <c r="K27" s="18"/>
    </row>
    <row r="28" spans="1:11">
      <c r="A28" s="2" t="s">
        <v>113</v>
      </c>
      <c r="B28" s="20" t="s">
        <v>91</v>
      </c>
      <c r="C28" s="21">
        <v>92.4</v>
      </c>
      <c r="D28" s="21">
        <v>117.9</v>
      </c>
      <c r="E28" s="21" t="s">
        <v>136</v>
      </c>
      <c r="F28" s="21">
        <v>12.2</v>
      </c>
      <c r="G28" s="21" t="s">
        <v>137</v>
      </c>
      <c r="H28" s="21" t="s">
        <v>138</v>
      </c>
      <c r="I28" s="21"/>
      <c r="J28" s="21"/>
      <c r="K28" s="18"/>
    </row>
    <row r="29" spans="1:11">
      <c r="A29" s="2" t="s">
        <v>113</v>
      </c>
      <c r="B29" s="20" t="s">
        <v>109</v>
      </c>
      <c r="C29" s="21">
        <v>90.9</v>
      </c>
      <c r="D29" s="21">
        <v>126.5</v>
      </c>
      <c r="E29" s="21">
        <v>686.5</v>
      </c>
      <c r="F29" s="21" t="s">
        <v>122</v>
      </c>
      <c r="G29" s="21">
        <v>19.399999999999999</v>
      </c>
      <c r="H29" s="21" t="s">
        <v>139</v>
      </c>
      <c r="I29" s="21"/>
      <c r="J29" s="21"/>
      <c r="K29" s="18"/>
    </row>
    <row r="30" spans="1:11">
      <c r="A30" s="2" t="s">
        <v>113</v>
      </c>
      <c r="B30" s="20" t="s">
        <v>99</v>
      </c>
      <c r="C30" s="21">
        <v>93.4</v>
      </c>
      <c r="D30" s="21">
        <v>145.4</v>
      </c>
      <c r="E30" s="21">
        <v>721.4</v>
      </c>
      <c r="F30" s="21">
        <v>8.1</v>
      </c>
      <c r="G30" s="21">
        <v>30.2</v>
      </c>
      <c r="H30" s="21" t="s">
        <v>140</v>
      </c>
      <c r="I30" s="21"/>
      <c r="J30" s="21"/>
      <c r="K30" s="18"/>
    </row>
    <row r="31" spans="1:11">
      <c r="A31" s="2" t="s">
        <v>113</v>
      </c>
      <c r="B31" s="20" t="s">
        <v>104</v>
      </c>
      <c r="C31" s="21">
        <v>93.5</v>
      </c>
      <c r="D31" s="21">
        <v>149.30000000000001</v>
      </c>
      <c r="E31" s="21">
        <v>728.6</v>
      </c>
      <c r="F31" s="21">
        <v>8.1</v>
      </c>
      <c r="G31" s="21">
        <v>22.8</v>
      </c>
      <c r="H31" s="21" t="s">
        <v>141</v>
      </c>
      <c r="I31" s="21"/>
      <c r="J31" s="21"/>
      <c r="K31" s="18"/>
    </row>
    <row r="32" spans="1:11">
      <c r="A32" s="2" t="s">
        <v>113</v>
      </c>
      <c r="B32" s="20" t="s">
        <v>91</v>
      </c>
      <c r="C32" s="21">
        <v>94.3</v>
      </c>
      <c r="D32" s="21">
        <v>85.1</v>
      </c>
      <c r="E32" s="21">
        <v>692.3</v>
      </c>
      <c r="F32" s="21">
        <v>15.9</v>
      </c>
      <c r="G32" s="21">
        <v>25.4</v>
      </c>
      <c r="H32" s="21" t="s">
        <v>140</v>
      </c>
      <c r="I32" s="21"/>
      <c r="J32" s="21"/>
      <c r="K32" s="18"/>
    </row>
    <row r="33" spans="1:11">
      <c r="A33" s="2" t="s">
        <v>113</v>
      </c>
      <c r="B33" s="20" t="s">
        <v>109</v>
      </c>
      <c r="C33" s="21">
        <v>88.6</v>
      </c>
      <c r="D33" s="21">
        <v>91.8</v>
      </c>
      <c r="E33" s="21">
        <v>709.9</v>
      </c>
      <c r="F33" s="21">
        <v>7.1</v>
      </c>
      <c r="G33" s="21">
        <v>11.2</v>
      </c>
      <c r="H33" s="21" t="s">
        <v>142</v>
      </c>
      <c r="I33" s="21"/>
      <c r="J33" s="21"/>
      <c r="K33" s="18"/>
    </row>
    <row r="34" spans="1:11">
      <c r="A34" s="2" t="s">
        <v>113</v>
      </c>
      <c r="B34" s="20" t="s">
        <v>91</v>
      </c>
      <c r="C34" s="21">
        <v>88.6</v>
      </c>
      <c r="D34" s="21">
        <v>69.7</v>
      </c>
      <c r="E34" s="21">
        <v>706.8</v>
      </c>
      <c r="F34" s="21">
        <v>5.8</v>
      </c>
      <c r="G34" s="21">
        <v>20.6</v>
      </c>
      <c r="H34" s="21" t="s">
        <v>143</v>
      </c>
      <c r="I34" s="21"/>
      <c r="J34" s="21"/>
      <c r="K34" s="18"/>
    </row>
    <row r="35" spans="1:11">
      <c r="A35" s="2" t="s">
        <v>113</v>
      </c>
      <c r="B35" s="20" t="s">
        <v>104</v>
      </c>
      <c r="C35" s="21">
        <v>91.7</v>
      </c>
      <c r="D35" s="21">
        <v>75.599999999999994</v>
      </c>
      <c r="E35" s="21">
        <v>718.3</v>
      </c>
      <c r="F35" s="21">
        <v>7.8</v>
      </c>
      <c r="G35" s="21">
        <v>17.7</v>
      </c>
      <c r="H35" s="21" t="s">
        <v>141</v>
      </c>
      <c r="I35" s="21"/>
      <c r="J35" s="21"/>
      <c r="K35" s="18"/>
    </row>
    <row r="36" spans="1:11">
      <c r="A36" s="2" t="s">
        <v>113</v>
      </c>
      <c r="B36" s="20" t="s">
        <v>109</v>
      </c>
      <c r="C36" s="21">
        <v>91.8</v>
      </c>
      <c r="D36" s="21">
        <v>78.5</v>
      </c>
      <c r="E36" s="21">
        <v>724.3</v>
      </c>
      <c r="F36" s="21">
        <v>9.1999999999999993</v>
      </c>
      <c r="G36" s="21">
        <v>21.2</v>
      </c>
      <c r="H36" s="21" t="s">
        <v>134</v>
      </c>
      <c r="I36" s="21"/>
      <c r="J36" s="21"/>
      <c r="K36" s="18"/>
    </row>
    <row r="37" spans="1:11">
      <c r="A37" s="2" t="s">
        <v>113</v>
      </c>
      <c r="B37" s="20" t="s">
        <v>95</v>
      </c>
      <c r="C37" s="21">
        <v>90.3</v>
      </c>
      <c r="D37" s="21">
        <v>80.7</v>
      </c>
      <c r="E37" s="21">
        <v>730.2</v>
      </c>
      <c r="F37" s="21">
        <v>6.3</v>
      </c>
      <c r="G37" s="21">
        <v>18.2</v>
      </c>
      <c r="H37" s="21" t="s">
        <v>144</v>
      </c>
      <c r="I37" s="21"/>
      <c r="J37" s="21"/>
      <c r="K37" s="18"/>
    </row>
    <row r="38" spans="1:11">
      <c r="A38" s="2" t="s">
        <v>94</v>
      </c>
      <c r="B38" s="20" t="s">
        <v>95</v>
      </c>
      <c r="C38" s="21">
        <v>90.6</v>
      </c>
      <c r="D38" s="21">
        <v>35.4</v>
      </c>
      <c r="E38" s="21">
        <v>669.1</v>
      </c>
      <c r="F38" s="21">
        <v>6.7</v>
      </c>
      <c r="G38" s="21">
        <v>21.7</v>
      </c>
      <c r="H38" s="21" t="s">
        <v>140</v>
      </c>
      <c r="I38" s="21"/>
      <c r="J38" s="21"/>
      <c r="K38" s="18"/>
    </row>
    <row r="39" spans="1:11">
      <c r="A39" s="2" t="s">
        <v>94</v>
      </c>
      <c r="B39" s="20" t="s">
        <v>91</v>
      </c>
      <c r="C39" s="21" t="s">
        <v>145</v>
      </c>
      <c r="D39" s="21">
        <v>41.5</v>
      </c>
      <c r="E39" s="21">
        <v>682.6</v>
      </c>
      <c r="F39" s="21">
        <v>8.6999999999999993</v>
      </c>
      <c r="G39" s="21">
        <v>11.3</v>
      </c>
      <c r="H39" s="21" t="s">
        <v>135</v>
      </c>
      <c r="I39" s="21"/>
      <c r="J39" s="21"/>
      <c r="K39" s="18"/>
    </row>
    <row r="40" spans="1:11">
      <c r="A40" s="2" t="s">
        <v>94</v>
      </c>
      <c r="B40" s="20" t="s">
        <v>99</v>
      </c>
      <c r="C40" s="21">
        <v>90.6</v>
      </c>
      <c r="D40" s="21">
        <v>43.7</v>
      </c>
      <c r="E40" s="21">
        <v>686.9</v>
      </c>
      <c r="F40" s="21">
        <v>6.7</v>
      </c>
      <c r="G40" s="21">
        <v>17.8</v>
      </c>
      <c r="H40" s="21" t="s">
        <v>110</v>
      </c>
      <c r="I40" s="21"/>
      <c r="J40" s="21"/>
      <c r="K40" s="18"/>
    </row>
    <row r="41" spans="1:11">
      <c r="A41" s="2" t="s">
        <v>90</v>
      </c>
      <c r="B41" s="20" t="s">
        <v>95</v>
      </c>
      <c r="C41" s="21">
        <v>88.1</v>
      </c>
      <c r="D41" s="21">
        <v>25.7</v>
      </c>
      <c r="E41" s="21">
        <v>67.599999999999994</v>
      </c>
      <c r="F41" s="21">
        <v>3.8</v>
      </c>
      <c r="G41" s="21">
        <v>14.1</v>
      </c>
      <c r="H41" s="21" t="s">
        <v>133</v>
      </c>
      <c r="I41" s="21"/>
      <c r="J41" s="21"/>
      <c r="K41" s="18"/>
    </row>
    <row r="42" spans="1:11">
      <c r="A42" s="2" t="s">
        <v>146</v>
      </c>
      <c r="B42" s="20" t="s">
        <v>95</v>
      </c>
      <c r="C42" s="21">
        <v>79.5</v>
      </c>
      <c r="D42" s="21">
        <v>60.6</v>
      </c>
      <c r="E42" s="21">
        <v>366.7</v>
      </c>
      <c r="F42" s="21">
        <v>1.5</v>
      </c>
      <c r="G42" s="21">
        <v>23.3</v>
      </c>
      <c r="H42" s="21" t="s">
        <v>143</v>
      </c>
      <c r="I42" s="21"/>
      <c r="J42" s="21"/>
      <c r="K42" s="18"/>
    </row>
    <row r="43" spans="1:11">
      <c r="A43" s="2" t="s">
        <v>106</v>
      </c>
      <c r="B43" s="20" t="s">
        <v>99</v>
      </c>
      <c r="C43" s="21">
        <v>90.2</v>
      </c>
      <c r="D43" s="21">
        <v>96.9</v>
      </c>
      <c r="E43" s="21">
        <v>624.20000000000005</v>
      </c>
      <c r="F43" s="21">
        <v>8.9</v>
      </c>
      <c r="G43" s="21">
        <v>18.399999999999999</v>
      </c>
      <c r="H43" s="21" t="s">
        <v>123</v>
      </c>
      <c r="I43" s="21"/>
      <c r="J43" s="21"/>
      <c r="K43" s="18"/>
    </row>
    <row r="44" spans="1:11">
      <c r="A44" s="2" t="s">
        <v>106</v>
      </c>
      <c r="B44" s="20" t="s">
        <v>95</v>
      </c>
      <c r="C44" s="21">
        <v>94.8</v>
      </c>
      <c r="D44" s="21">
        <v>108.3</v>
      </c>
      <c r="E44" s="21">
        <v>647.1</v>
      </c>
      <c r="F44" s="21" t="s">
        <v>120</v>
      </c>
      <c r="G44" s="21">
        <v>16.600000000000001</v>
      </c>
      <c r="H44" s="21" t="s">
        <v>147</v>
      </c>
      <c r="I44" s="21"/>
      <c r="J44" s="21"/>
      <c r="K44" s="18"/>
    </row>
    <row r="45" spans="1:11">
      <c r="A45" s="2" t="s">
        <v>113</v>
      </c>
      <c r="B45" s="20" t="s">
        <v>99</v>
      </c>
      <c r="C45" s="21">
        <v>92.5</v>
      </c>
      <c r="D45" s="21" t="s">
        <v>116</v>
      </c>
      <c r="E45" s="21">
        <v>698.6</v>
      </c>
      <c r="F45" s="21">
        <v>7.1</v>
      </c>
      <c r="G45" s="21">
        <v>19.600000000000001</v>
      </c>
      <c r="H45" s="21" t="s">
        <v>139</v>
      </c>
      <c r="I45" s="21"/>
      <c r="J45" s="21"/>
      <c r="K45" s="18"/>
    </row>
    <row r="46" spans="1:11">
      <c r="A46" s="2" t="s">
        <v>113</v>
      </c>
      <c r="B46" s="20" t="s">
        <v>124</v>
      </c>
      <c r="C46" s="21">
        <v>90.1</v>
      </c>
      <c r="D46" s="21">
        <v>82.9</v>
      </c>
      <c r="E46" s="21">
        <v>735.7</v>
      </c>
      <c r="F46" s="21">
        <v>6.2</v>
      </c>
      <c r="G46" s="21">
        <v>12.9</v>
      </c>
      <c r="H46" s="21" t="s">
        <v>148</v>
      </c>
      <c r="I46" s="21"/>
      <c r="J46" s="21"/>
      <c r="K46" s="18"/>
    </row>
    <row r="47" spans="1:11">
      <c r="A47" s="2" t="s">
        <v>113</v>
      </c>
      <c r="B47" s="20" t="s">
        <v>124</v>
      </c>
      <c r="C47" s="21">
        <v>94.3</v>
      </c>
      <c r="D47" s="21">
        <v>85.1</v>
      </c>
      <c r="E47" s="21">
        <v>692.3</v>
      </c>
      <c r="F47" s="21">
        <v>15.9</v>
      </c>
      <c r="G47" s="21">
        <v>25.9</v>
      </c>
      <c r="H47" s="21" t="s">
        <v>140</v>
      </c>
      <c r="I47" s="21"/>
      <c r="J47" s="21"/>
      <c r="K47" s="18"/>
    </row>
    <row r="48" spans="1:11">
      <c r="A48" s="2" t="s">
        <v>113</v>
      </c>
      <c r="B48" s="20" t="s">
        <v>109</v>
      </c>
      <c r="C48" s="21">
        <v>90.9</v>
      </c>
      <c r="D48" s="21">
        <v>126.5</v>
      </c>
      <c r="E48" s="21">
        <v>686.5</v>
      </c>
      <c r="F48" s="21" t="s">
        <v>122</v>
      </c>
      <c r="G48" s="21">
        <v>14.7</v>
      </c>
      <c r="H48" s="21" t="s">
        <v>149</v>
      </c>
      <c r="I48" s="21"/>
      <c r="J48" s="21"/>
      <c r="K48" s="18"/>
    </row>
    <row r="49" spans="1:11">
      <c r="A49" s="2" t="s">
        <v>146</v>
      </c>
      <c r="B49" s="20" t="s">
        <v>109</v>
      </c>
      <c r="C49" s="21">
        <v>94.2</v>
      </c>
      <c r="D49" s="21">
        <v>62.3</v>
      </c>
      <c r="E49" s="21">
        <v>442.9</v>
      </c>
      <c r="F49" s="21" t="s">
        <v>150</v>
      </c>
      <c r="G49" s="21" t="s">
        <v>151</v>
      </c>
      <c r="H49" s="21" t="s">
        <v>152</v>
      </c>
      <c r="I49" s="21"/>
      <c r="J49" s="21"/>
      <c r="K49" s="18"/>
    </row>
    <row r="50" spans="1:11">
      <c r="A50" s="2" t="s">
        <v>90</v>
      </c>
      <c r="B50" s="20" t="s">
        <v>109</v>
      </c>
      <c r="C50" s="21">
        <v>87.2</v>
      </c>
      <c r="D50" s="21">
        <v>23.9</v>
      </c>
      <c r="E50" s="21">
        <v>64.7</v>
      </c>
      <c r="F50" s="21">
        <v>4.0999999999999996</v>
      </c>
      <c r="G50" s="21">
        <v>11.8</v>
      </c>
      <c r="H50" s="21" t="s">
        <v>129</v>
      </c>
      <c r="I50" s="21"/>
      <c r="J50" s="21"/>
      <c r="K50" s="18"/>
    </row>
    <row r="51" spans="1:11">
      <c r="A51" s="2" t="s">
        <v>90</v>
      </c>
      <c r="B51" s="20" t="s">
        <v>109</v>
      </c>
      <c r="C51" s="21">
        <v>87.6</v>
      </c>
      <c r="D51" s="21">
        <v>52.2</v>
      </c>
      <c r="E51" s="21">
        <v>103.8</v>
      </c>
      <c r="F51" s="21" t="s">
        <v>153</v>
      </c>
      <c r="G51" s="21" t="s">
        <v>150</v>
      </c>
      <c r="H51" s="21" t="s">
        <v>154</v>
      </c>
      <c r="I51" s="21"/>
      <c r="J51" s="21"/>
      <c r="K51" s="18"/>
    </row>
    <row r="52" spans="1:11">
      <c r="A52" s="2" t="s">
        <v>113</v>
      </c>
      <c r="B52" s="20" t="s">
        <v>155</v>
      </c>
      <c r="C52" s="21">
        <v>92.9</v>
      </c>
      <c r="D52" s="21" t="s">
        <v>156</v>
      </c>
      <c r="E52" s="21">
        <v>706.4</v>
      </c>
      <c r="F52" s="21">
        <v>9.1999999999999993</v>
      </c>
      <c r="G52" s="21">
        <v>20.8</v>
      </c>
      <c r="H52" s="21" t="s">
        <v>120</v>
      </c>
      <c r="I52" s="21"/>
      <c r="J52" s="21"/>
      <c r="K52" s="18"/>
    </row>
    <row r="53" spans="1:11">
      <c r="A53" s="2" t="s">
        <v>106</v>
      </c>
      <c r="B53" s="20" t="s">
        <v>104</v>
      </c>
      <c r="C53" s="21">
        <v>90.2</v>
      </c>
      <c r="D53" s="21">
        <v>99.6</v>
      </c>
      <c r="E53" s="21">
        <v>631.20000000000005</v>
      </c>
      <c r="F53" s="21">
        <v>6.3</v>
      </c>
      <c r="G53" s="21">
        <v>21.5</v>
      </c>
      <c r="H53" s="21" t="s">
        <v>138</v>
      </c>
      <c r="I53" s="21"/>
      <c r="J53" s="21"/>
      <c r="K53" s="18"/>
    </row>
    <row r="54" spans="1:11">
      <c r="A54" s="2" t="s">
        <v>106</v>
      </c>
      <c r="B54" s="20" t="s">
        <v>124</v>
      </c>
      <c r="C54" s="21">
        <v>92.1</v>
      </c>
      <c r="D54" s="21">
        <v>111.2</v>
      </c>
      <c r="E54" s="21">
        <v>654.1</v>
      </c>
      <c r="F54" s="21">
        <v>9.6</v>
      </c>
      <c r="G54" s="21">
        <v>20.399999999999999</v>
      </c>
      <c r="H54" s="21" t="s">
        <v>123</v>
      </c>
      <c r="I54" s="21"/>
      <c r="J54" s="21"/>
      <c r="K54" s="18"/>
    </row>
    <row r="55" spans="1:11">
      <c r="A55" s="2" t="s">
        <v>106</v>
      </c>
      <c r="B55" s="20" t="s">
        <v>124</v>
      </c>
      <c r="C55" s="21">
        <v>92.1</v>
      </c>
      <c r="D55" s="21">
        <v>111.2</v>
      </c>
      <c r="E55" s="21">
        <v>654.1</v>
      </c>
      <c r="F55" s="21">
        <v>9.6</v>
      </c>
      <c r="G55" s="21">
        <v>20.399999999999999</v>
      </c>
      <c r="H55" s="21" t="s">
        <v>123</v>
      </c>
      <c r="I55" s="21"/>
      <c r="J55" s="21"/>
      <c r="K55" s="18"/>
    </row>
    <row r="56" spans="1:11">
      <c r="A56" s="2" t="s">
        <v>106</v>
      </c>
      <c r="B56" s="20" t="s">
        <v>155</v>
      </c>
      <c r="C56" s="21">
        <v>91.7</v>
      </c>
      <c r="D56" s="21">
        <v>114.3</v>
      </c>
      <c r="E56" s="21">
        <v>661.3</v>
      </c>
      <c r="F56" s="21">
        <v>6.3</v>
      </c>
      <c r="G56" s="21">
        <v>17.600000000000001</v>
      </c>
      <c r="H56" s="21" t="s">
        <v>157</v>
      </c>
      <c r="I56" s="21"/>
      <c r="J56" s="21"/>
      <c r="K56" s="18"/>
    </row>
    <row r="57" spans="1:11">
      <c r="A57" s="2" t="s">
        <v>113</v>
      </c>
      <c r="B57" s="20" t="s">
        <v>155</v>
      </c>
      <c r="C57" s="21">
        <v>92.9</v>
      </c>
      <c r="D57" s="21" t="s">
        <v>156</v>
      </c>
      <c r="E57" s="21">
        <v>706.4</v>
      </c>
      <c r="F57" s="21">
        <v>9.1999999999999993</v>
      </c>
      <c r="G57" s="21">
        <v>27.7</v>
      </c>
      <c r="H57" s="21" t="s">
        <v>140</v>
      </c>
      <c r="I57" s="21"/>
      <c r="J57" s="21"/>
      <c r="K57" s="18"/>
    </row>
    <row r="58" spans="1:11">
      <c r="A58" s="2" t="s">
        <v>113</v>
      </c>
      <c r="B58" s="20" t="s">
        <v>95</v>
      </c>
      <c r="C58" s="21">
        <v>90.3</v>
      </c>
      <c r="D58" s="21">
        <v>80.7</v>
      </c>
      <c r="E58" s="21">
        <v>730.2</v>
      </c>
      <c r="F58" s="21">
        <v>6.3</v>
      </c>
      <c r="G58" s="21">
        <v>17.8</v>
      </c>
      <c r="H58" s="21" t="s">
        <v>115</v>
      </c>
      <c r="I58" s="21"/>
      <c r="J58" s="21"/>
      <c r="K58" s="18"/>
    </row>
    <row r="59" spans="1:11">
      <c r="A59" s="2" t="s">
        <v>94</v>
      </c>
      <c r="B59" s="20" t="s">
        <v>104</v>
      </c>
      <c r="C59" s="21">
        <v>92.6</v>
      </c>
      <c r="D59" s="21">
        <v>46.5</v>
      </c>
      <c r="E59" s="21">
        <v>691.8</v>
      </c>
      <c r="F59" s="21">
        <v>8.8000000000000007</v>
      </c>
      <c r="G59" s="21">
        <v>13.8</v>
      </c>
      <c r="H59" s="21" t="s">
        <v>158</v>
      </c>
      <c r="I59" s="21"/>
      <c r="J59" s="21"/>
      <c r="K59" s="18"/>
    </row>
    <row r="60" spans="1:11">
      <c r="A60" s="2" t="s">
        <v>159</v>
      </c>
      <c r="B60" s="20" t="s">
        <v>109</v>
      </c>
      <c r="C60" s="21" t="s">
        <v>160</v>
      </c>
      <c r="D60" s="21">
        <v>9.3000000000000007</v>
      </c>
      <c r="E60" s="21" t="s">
        <v>138</v>
      </c>
      <c r="F60" s="21">
        <v>2.1</v>
      </c>
      <c r="G60" s="21">
        <v>13.9</v>
      </c>
      <c r="H60" s="21" t="s">
        <v>117</v>
      </c>
      <c r="I60" s="21"/>
      <c r="J60" s="21"/>
      <c r="K60" s="18"/>
    </row>
    <row r="61" spans="1:11">
      <c r="A61" s="2" t="s">
        <v>159</v>
      </c>
      <c r="B61" s="20" t="s">
        <v>91</v>
      </c>
      <c r="C61" s="21">
        <v>86.6</v>
      </c>
      <c r="D61" s="21">
        <v>13.2</v>
      </c>
      <c r="E61" s="21" t="s">
        <v>133</v>
      </c>
      <c r="F61" s="21">
        <v>5.3</v>
      </c>
      <c r="G61" s="21">
        <v>12.3</v>
      </c>
      <c r="H61" s="21" t="s">
        <v>92</v>
      </c>
      <c r="I61" s="21"/>
      <c r="J61" s="21"/>
      <c r="K61" s="18"/>
    </row>
    <row r="62" spans="1:11">
      <c r="A62" s="2" t="s">
        <v>90</v>
      </c>
      <c r="B62" s="20" t="s">
        <v>104</v>
      </c>
      <c r="C62" s="21">
        <v>89.3</v>
      </c>
      <c r="D62" s="21">
        <v>51.3</v>
      </c>
      <c r="E62" s="21">
        <v>102.2</v>
      </c>
      <c r="F62" s="21">
        <v>9.6</v>
      </c>
      <c r="G62" s="21">
        <v>11.5</v>
      </c>
      <c r="H62" s="21" t="s">
        <v>141</v>
      </c>
      <c r="I62" s="21"/>
      <c r="J62" s="21"/>
      <c r="K62" s="18"/>
    </row>
    <row r="63" spans="1:11">
      <c r="A63" s="2" t="s">
        <v>90</v>
      </c>
      <c r="B63" s="20" t="s">
        <v>104</v>
      </c>
      <c r="C63" s="21">
        <v>89.3</v>
      </c>
      <c r="D63" s="21">
        <v>51.3</v>
      </c>
      <c r="E63" s="21">
        <v>102.2</v>
      </c>
      <c r="F63" s="21">
        <v>9.6</v>
      </c>
      <c r="G63" s="21">
        <v>5.5</v>
      </c>
      <c r="H63" s="21" t="s">
        <v>161</v>
      </c>
      <c r="I63" s="21"/>
      <c r="J63" s="21"/>
      <c r="K63" s="18"/>
    </row>
    <row r="64" spans="1:11">
      <c r="A64" s="2" t="s">
        <v>106</v>
      </c>
      <c r="B64" s="20" t="s">
        <v>155</v>
      </c>
      <c r="C64" s="21" t="s">
        <v>162</v>
      </c>
      <c r="D64" s="21">
        <v>75.3</v>
      </c>
      <c r="E64" s="21">
        <v>466.6</v>
      </c>
      <c r="F64" s="21">
        <v>7.7</v>
      </c>
      <c r="G64" s="21">
        <v>18.8</v>
      </c>
      <c r="H64" s="21" t="s">
        <v>129</v>
      </c>
      <c r="I64" s="21"/>
      <c r="J64" s="21"/>
      <c r="K64" s="18"/>
    </row>
    <row r="65" spans="1:11">
      <c r="A65" s="2" t="s">
        <v>106</v>
      </c>
      <c r="B65" s="20" t="s">
        <v>104</v>
      </c>
      <c r="C65" s="21">
        <v>90.2</v>
      </c>
      <c r="D65" s="21">
        <v>99.6</v>
      </c>
      <c r="E65" s="21">
        <v>631.20000000000005</v>
      </c>
      <c r="F65" s="21">
        <v>6.3</v>
      </c>
      <c r="G65" s="21">
        <v>20.8</v>
      </c>
      <c r="H65" s="21" t="s">
        <v>97</v>
      </c>
      <c r="I65" s="21"/>
      <c r="J65" s="21"/>
      <c r="K65" s="18"/>
    </row>
    <row r="66" spans="1:11">
      <c r="A66" s="2" t="s">
        <v>106</v>
      </c>
      <c r="B66" s="20" t="s">
        <v>109</v>
      </c>
      <c r="C66" s="21">
        <v>91.1</v>
      </c>
      <c r="D66" s="21">
        <v>103.2</v>
      </c>
      <c r="E66" s="21">
        <v>638.79999999999995</v>
      </c>
      <c r="F66" s="21">
        <v>5.8</v>
      </c>
      <c r="G66" s="21">
        <v>23.1</v>
      </c>
      <c r="H66" s="21" t="s">
        <v>163</v>
      </c>
      <c r="I66" s="21"/>
      <c r="J66" s="21"/>
      <c r="K66" s="18"/>
    </row>
    <row r="67" spans="1:11">
      <c r="A67" s="2" t="s">
        <v>106</v>
      </c>
      <c r="B67" s="20" t="s">
        <v>155</v>
      </c>
      <c r="C67" s="21">
        <v>91.7</v>
      </c>
      <c r="D67" s="21">
        <v>114.3</v>
      </c>
      <c r="E67" s="21">
        <v>661.3</v>
      </c>
      <c r="F67" s="21">
        <v>6.3</v>
      </c>
      <c r="G67" s="21">
        <v>18.600000000000001</v>
      </c>
      <c r="H67" s="21" t="s">
        <v>126</v>
      </c>
      <c r="I67" s="21"/>
      <c r="J67" s="21"/>
      <c r="K67" s="18"/>
    </row>
    <row r="68" spans="1:11">
      <c r="A68" s="2" t="s">
        <v>113</v>
      </c>
      <c r="B68" s="20" t="s">
        <v>91</v>
      </c>
      <c r="C68" s="21">
        <v>92.4</v>
      </c>
      <c r="D68" s="21">
        <v>117.9</v>
      </c>
      <c r="E68" s="21" t="s">
        <v>136</v>
      </c>
      <c r="F68" s="21">
        <v>12.2</v>
      </c>
      <c r="G68" s="21" t="s">
        <v>151</v>
      </c>
      <c r="H68" s="21" t="s">
        <v>143</v>
      </c>
      <c r="I68" s="21"/>
      <c r="J68" s="21"/>
      <c r="K68" s="18"/>
    </row>
    <row r="69" spans="1:11">
      <c r="A69" s="2" t="s">
        <v>113</v>
      </c>
      <c r="B69" s="20" t="s">
        <v>91</v>
      </c>
      <c r="C69" s="21">
        <v>92.4</v>
      </c>
      <c r="D69" s="21">
        <v>117.9</v>
      </c>
      <c r="E69" s="21" t="s">
        <v>136</v>
      </c>
      <c r="F69" s="21">
        <v>12.2</v>
      </c>
      <c r="G69" s="21">
        <v>19.600000000000001</v>
      </c>
      <c r="H69" s="21" t="s">
        <v>97</v>
      </c>
      <c r="I69" s="21"/>
      <c r="J69" s="21"/>
      <c r="K69" s="18"/>
    </row>
    <row r="70" spans="1:11">
      <c r="A70" s="2" t="s">
        <v>113</v>
      </c>
      <c r="B70" s="20" t="s">
        <v>91</v>
      </c>
      <c r="C70" s="21">
        <v>92.4</v>
      </c>
      <c r="D70" s="21">
        <v>117.9</v>
      </c>
      <c r="E70" s="21" t="s">
        <v>136</v>
      </c>
      <c r="F70" s="21">
        <v>12.2</v>
      </c>
      <c r="G70" s="21">
        <v>19.600000000000001</v>
      </c>
      <c r="H70" s="21" t="s">
        <v>97</v>
      </c>
      <c r="I70" s="21"/>
      <c r="J70" s="21"/>
      <c r="K70" s="18"/>
    </row>
    <row r="71" spans="1:11">
      <c r="A71" s="2" t="s">
        <v>90</v>
      </c>
      <c r="B71" s="20" t="s">
        <v>91</v>
      </c>
      <c r="C71" s="21">
        <v>91.7</v>
      </c>
      <c r="D71" s="21">
        <v>33.299999999999997</v>
      </c>
      <c r="E71" s="21">
        <v>77.5</v>
      </c>
      <c r="F71" s="21" t="s">
        <v>101</v>
      </c>
      <c r="G71" s="21">
        <v>17.2</v>
      </c>
      <c r="H71" s="21" t="s">
        <v>164</v>
      </c>
      <c r="I71" s="21"/>
      <c r="J71" s="21"/>
      <c r="K71" s="18"/>
    </row>
    <row r="72" spans="1:11">
      <c r="A72" s="2" t="s">
        <v>90</v>
      </c>
      <c r="B72" s="20" t="s">
        <v>91</v>
      </c>
      <c r="C72" s="21">
        <v>91.2</v>
      </c>
      <c r="D72" s="21">
        <v>48.3</v>
      </c>
      <c r="E72" s="21">
        <v>97.8</v>
      </c>
      <c r="F72" s="21">
        <v>12.5</v>
      </c>
      <c r="G72" s="21">
        <v>15.8</v>
      </c>
      <c r="H72" s="21" t="s">
        <v>110</v>
      </c>
      <c r="I72" s="21"/>
      <c r="J72" s="21"/>
      <c r="K72" s="18"/>
    </row>
    <row r="73" spans="1:11">
      <c r="A73" s="2" t="s">
        <v>113</v>
      </c>
      <c r="B73" s="20" t="s">
        <v>91</v>
      </c>
      <c r="C73" s="21">
        <v>94.3</v>
      </c>
      <c r="D73" s="21">
        <v>85.1</v>
      </c>
      <c r="E73" s="21">
        <v>692.3</v>
      </c>
      <c r="F73" s="21">
        <v>15.9</v>
      </c>
      <c r="G73" s="21">
        <v>17.7</v>
      </c>
      <c r="H73" s="21" t="s">
        <v>143</v>
      </c>
      <c r="I73" s="21"/>
      <c r="J73" s="21"/>
      <c r="K73" s="18"/>
    </row>
    <row r="74" spans="1:11">
      <c r="A74" s="2" t="s">
        <v>90</v>
      </c>
      <c r="B74" s="20" t="s">
        <v>91</v>
      </c>
      <c r="C74" s="21">
        <v>91.7</v>
      </c>
      <c r="D74" s="21">
        <v>33.299999999999997</v>
      </c>
      <c r="E74" s="21">
        <v>77.5</v>
      </c>
      <c r="F74" s="21" t="s">
        <v>101</v>
      </c>
      <c r="G74" s="21">
        <v>15.6</v>
      </c>
      <c r="H74" s="21" t="s">
        <v>165</v>
      </c>
      <c r="I74" s="21"/>
      <c r="J74" s="21"/>
      <c r="K74" s="18"/>
    </row>
    <row r="75" spans="1:11">
      <c r="A75" s="2" t="s">
        <v>106</v>
      </c>
      <c r="B75" s="20" t="s">
        <v>95</v>
      </c>
      <c r="C75" s="21">
        <v>88.8</v>
      </c>
      <c r="D75" s="21">
        <v>147.30000000000001</v>
      </c>
      <c r="E75" s="21">
        <v>614.5</v>
      </c>
      <c r="F75" s="21" t="s">
        <v>101</v>
      </c>
      <c r="G75" s="21">
        <v>17.3</v>
      </c>
      <c r="H75" s="21" t="s">
        <v>133</v>
      </c>
      <c r="I75" s="21"/>
      <c r="J75" s="21"/>
      <c r="K75" s="18"/>
    </row>
    <row r="76" spans="1:11">
      <c r="A76" s="2" t="s">
        <v>113</v>
      </c>
      <c r="B76" s="20" t="s">
        <v>91</v>
      </c>
      <c r="C76" s="21">
        <v>93.3</v>
      </c>
      <c r="D76" s="21">
        <v>141.19999999999999</v>
      </c>
      <c r="E76" s="21">
        <v>713.9</v>
      </c>
      <c r="F76" s="21">
        <v>13.9</v>
      </c>
      <c r="G76" s="21">
        <v>27.6</v>
      </c>
      <c r="H76" s="21" t="s">
        <v>166</v>
      </c>
      <c r="I76" s="21"/>
      <c r="J76" s="21"/>
      <c r="K76" s="18"/>
    </row>
    <row r="77" spans="1:11">
      <c r="A77" s="2" t="s">
        <v>159</v>
      </c>
      <c r="B77" s="20" t="s">
        <v>155</v>
      </c>
      <c r="C77" s="21">
        <v>84.2</v>
      </c>
      <c r="D77" s="21">
        <v>6.8</v>
      </c>
      <c r="E77" s="21">
        <v>26.6</v>
      </c>
      <c r="F77" s="21">
        <v>7.7</v>
      </c>
      <c r="G77" s="21">
        <v>6.7</v>
      </c>
      <c r="H77" s="21" t="s">
        <v>167</v>
      </c>
      <c r="I77" s="21"/>
      <c r="J77" s="21"/>
      <c r="K77" s="18"/>
    </row>
    <row r="78" spans="1:11">
      <c r="A78" s="2" t="s">
        <v>159</v>
      </c>
      <c r="B78" s="20" t="s">
        <v>91</v>
      </c>
      <c r="C78" s="21">
        <v>86.6</v>
      </c>
      <c r="D78" s="21">
        <v>13.2</v>
      </c>
      <c r="E78" s="21" t="s">
        <v>133</v>
      </c>
      <c r="F78" s="21">
        <v>5.3</v>
      </c>
      <c r="G78" s="21">
        <v>15.7</v>
      </c>
      <c r="H78" s="21" t="s">
        <v>133</v>
      </c>
      <c r="I78" s="21"/>
      <c r="J78" s="21"/>
      <c r="K78" s="18"/>
    </row>
    <row r="79" spans="1:11">
      <c r="A79" s="2" t="s">
        <v>90</v>
      </c>
      <c r="B79" s="20" t="s">
        <v>109</v>
      </c>
      <c r="C79" s="21">
        <v>87.6</v>
      </c>
      <c r="D79" s="21">
        <v>52.2</v>
      </c>
      <c r="E79" s="21">
        <v>103.8</v>
      </c>
      <c r="F79" s="21" t="s">
        <v>153</v>
      </c>
      <c r="G79" s="21">
        <v>8.3000000000000007</v>
      </c>
      <c r="H79" s="21" t="s">
        <v>121</v>
      </c>
      <c r="I79" s="21"/>
      <c r="J79" s="21"/>
      <c r="K79" s="18"/>
    </row>
    <row r="80" spans="1:11">
      <c r="A80" s="2" t="s">
        <v>106</v>
      </c>
      <c r="B80" s="20" t="s">
        <v>91</v>
      </c>
      <c r="C80" s="21">
        <v>90.1</v>
      </c>
      <c r="D80" s="21" t="s">
        <v>168</v>
      </c>
      <c r="E80" s="21">
        <v>529.79999999999995</v>
      </c>
      <c r="F80" s="21">
        <v>12.5</v>
      </c>
      <c r="G80" s="21">
        <v>14.7</v>
      </c>
      <c r="H80" s="21" t="s">
        <v>169</v>
      </c>
      <c r="I80" s="21"/>
      <c r="J80" s="21"/>
      <c r="K80" s="18"/>
    </row>
    <row r="81" spans="1:11">
      <c r="A81" s="2" t="s">
        <v>106</v>
      </c>
      <c r="B81" s="20" t="s">
        <v>95</v>
      </c>
      <c r="C81" s="21" t="s">
        <v>114</v>
      </c>
      <c r="D81" s="21">
        <v>121.2</v>
      </c>
      <c r="E81" s="21">
        <v>561.6</v>
      </c>
      <c r="F81" s="21" t="s">
        <v>122</v>
      </c>
      <c r="G81" s="21">
        <v>21.6</v>
      </c>
      <c r="H81" s="21" t="s">
        <v>137</v>
      </c>
      <c r="I81" s="21"/>
      <c r="J81" s="21"/>
      <c r="K81" s="18"/>
    </row>
    <row r="82" spans="1:11">
      <c r="A82" s="2" t="s">
        <v>106</v>
      </c>
      <c r="B82" s="20" t="s">
        <v>104</v>
      </c>
      <c r="C82" s="21">
        <v>91.4</v>
      </c>
      <c r="D82" s="21">
        <v>142.4</v>
      </c>
      <c r="E82" s="21">
        <v>601.4</v>
      </c>
      <c r="F82" s="21">
        <v>10.6</v>
      </c>
      <c r="G82" s="21">
        <v>19.5</v>
      </c>
      <c r="H82" s="21" t="s">
        <v>141</v>
      </c>
      <c r="I82" s="21"/>
      <c r="J82" s="21"/>
      <c r="K82" s="18"/>
    </row>
    <row r="83" spans="1:11">
      <c r="A83" s="2" t="s">
        <v>106</v>
      </c>
      <c r="B83" s="20" t="s">
        <v>104</v>
      </c>
      <c r="C83" s="21">
        <v>90.2</v>
      </c>
      <c r="D83" s="21">
        <v>99.6</v>
      </c>
      <c r="E83" s="21">
        <v>631.20000000000005</v>
      </c>
      <c r="F83" s="21">
        <v>6.3</v>
      </c>
      <c r="G83" s="21">
        <v>17.899999999999999</v>
      </c>
      <c r="H83" s="21" t="s">
        <v>126</v>
      </c>
      <c r="I83" s="21"/>
      <c r="J83" s="21"/>
      <c r="K83" s="18"/>
    </row>
    <row r="84" spans="1:11">
      <c r="A84" s="2" t="s">
        <v>106</v>
      </c>
      <c r="B84" s="20" t="s">
        <v>95</v>
      </c>
      <c r="C84" s="21">
        <v>94.8</v>
      </c>
      <c r="D84" s="21">
        <v>108.3</v>
      </c>
      <c r="E84" s="21">
        <v>647.1</v>
      </c>
      <c r="F84" s="21" t="s">
        <v>120</v>
      </c>
      <c r="G84" s="21">
        <v>18.600000000000001</v>
      </c>
      <c r="H84" s="21" t="s">
        <v>92</v>
      </c>
      <c r="I84" s="21"/>
      <c r="J84" s="21"/>
      <c r="K84" s="18"/>
    </row>
    <row r="85" spans="1:11">
      <c r="A85" s="2" t="s">
        <v>106</v>
      </c>
      <c r="B85" s="20" t="s">
        <v>124</v>
      </c>
      <c r="C85" s="21">
        <v>92.1</v>
      </c>
      <c r="D85" s="21">
        <v>111.2</v>
      </c>
      <c r="E85" s="21">
        <v>654.1</v>
      </c>
      <c r="F85" s="21">
        <v>9.6</v>
      </c>
      <c r="G85" s="21">
        <v>16.600000000000001</v>
      </c>
      <c r="H85" s="21" t="s">
        <v>128</v>
      </c>
      <c r="I85" s="21"/>
      <c r="J85" s="21"/>
      <c r="K85" s="18"/>
    </row>
    <row r="86" spans="1:11">
      <c r="A86" s="2" t="s">
        <v>106</v>
      </c>
      <c r="B86" s="20" t="s">
        <v>155</v>
      </c>
      <c r="C86" s="21">
        <v>91.7</v>
      </c>
      <c r="D86" s="21">
        <v>114.3</v>
      </c>
      <c r="E86" s="21">
        <v>661.3</v>
      </c>
      <c r="F86" s="21">
        <v>6.3</v>
      </c>
      <c r="G86" s="21">
        <v>20.2</v>
      </c>
      <c r="H86" s="21" t="s">
        <v>157</v>
      </c>
      <c r="I86" s="21"/>
      <c r="J86" s="21"/>
      <c r="K86" s="18"/>
    </row>
    <row r="87" spans="1:11">
      <c r="A87" s="2" t="s">
        <v>113</v>
      </c>
      <c r="B87" s="20" t="s">
        <v>155</v>
      </c>
      <c r="C87" s="21">
        <v>92.9</v>
      </c>
      <c r="D87" s="21" t="s">
        <v>156</v>
      </c>
      <c r="E87" s="21">
        <v>706.4</v>
      </c>
      <c r="F87" s="21">
        <v>9.1999999999999993</v>
      </c>
      <c r="G87" s="21">
        <v>21.5</v>
      </c>
      <c r="H87" s="21" t="s">
        <v>170</v>
      </c>
      <c r="I87" s="21"/>
      <c r="J87" s="21"/>
      <c r="K87" s="18"/>
    </row>
    <row r="88" spans="1:11">
      <c r="A88" s="2" t="s">
        <v>113</v>
      </c>
      <c r="B88" s="20" t="s">
        <v>155</v>
      </c>
      <c r="C88" s="21">
        <v>92.9</v>
      </c>
      <c r="D88" s="21" t="s">
        <v>156</v>
      </c>
      <c r="E88" s="21">
        <v>706.4</v>
      </c>
      <c r="F88" s="21">
        <v>9.1999999999999993</v>
      </c>
      <c r="G88" s="21">
        <v>25.4</v>
      </c>
      <c r="H88" s="21" t="s">
        <v>110</v>
      </c>
      <c r="I88" s="21"/>
      <c r="J88" s="21"/>
      <c r="K88" s="18"/>
    </row>
    <row r="89" spans="1:11">
      <c r="A89" s="2" t="s">
        <v>113</v>
      </c>
      <c r="B89" s="20" t="s">
        <v>155</v>
      </c>
      <c r="C89" s="21">
        <v>92.9</v>
      </c>
      <c r="D89" s="21" t="s">
        <v>156</v>
      </c>
      <c r="E89" s="21">
        <v>706.4</v>
      </c>
      <c r="F89" s="21">
        <v>9.1999999999999993</v>
      </c>
      <c r="G89" s="21">
        <v>22.4</v>
      </c>
      <c r="H89" s="21" t="s">
        <v>138</v>
      </c>
      <c r="I89" s="21"/>
      <c r="J89" s="21"/>
      <c r="K89" s="18"/>
    </row>
    <row r="90" spans="1:11">
      <c r="A90" s="2" t="s">
        <v>113</v>
      </c>
      <c r="B90" s="20" t="s">
        <v>104</v>
      </c>
      <c r="C90" s="21">
        <v>93.5</v>
      </c>
      <c r="D90" s="21">
        <v>149.30000000000001</v>
      </c>
      <c r="E90" s="21">
        <v>728.6</v>
      </c>
      <c r="F90" s="21">
        <v>8.1</v>
      </c>
      <c r="G90" s="21">
        <v>25.3</v>
      </c>
      <c r="H90" s="21" t="s">
        <v>152</v>
      </c>
      <c r="I90" s="21"/>
      <c r="J90" s="21"/>
      <c r="K90" s="18"/>
    </row>
    <row r="91" spans="1:11">
      <c r="A91" s="2" t="s">
        <v>90</v>
      </c>
      <c r="B91" s="20" t="s">
        <v>99</v>
      </c>
      <c r="C91" s="21">
        <v>91.7</v>
      </c>
      <c r="D91" s="21">
        <v>35.799999999999997</v>
      </c>
      <c r="E91" s="21">
        <v>80.8</v>
      </c>
      <c r="F91" s="21">
        <v>7.8</v>
      </c>
      <c r="G91" s="21">
        <v>17.399999999999999</v>
      </c>
      <c r="H91" s="21" t="s">
        <v>165</v>
      </c>
      <c r="I91" s="21"/>
      <c r="J91" s="21"/>
      <c r="K91" s="18"/>
    </row>
    <row r="92" spans="1:11">
      <c r="A92" s="2" t="s">
        <v>106</v>
      </c>
      <c r="B92" s="20" t="s">
        <v>99</v>
      </c>
      <c r="C92" s="21">
        <v>90.2</v>
      </c>
      <c r="D92" s="21">
        <v>96.9</v>
      </c>
      <c r="E92" s="21">
        <v>624.20000000000005</v>
      </c>
      <c r="F92" s="21">
        <v>8.9</v>
      </c>
      <c r="G92" s="21">
        <v>14.7</v>
      </c>
      <c r="H92" s="21" t="s">
        <v>161</v>
      </c>
      <c r="I92" s="21"/>
      <c r="J92" s="21"/>
      <c r="K92" s="18"/>
    </row>
    <row r="93" spans="1:11">
      <c r="A93" s="2" t="s">
        <v>90</v>
      </c>
      <c r="B93" s="20" t="s">
        <v>91</v>
      </c>
      <c r="C93" s="21">
        <v>91.7</v>
      </c>
      <c r="D93" s="21">
        <v>35.799999999999997</v>
      </c>
      <c r="E93" s="21">
        <v>80.8</v>
      </c>
      <c r="F93" s="21">
        <v>7.8</v>
      </c>
      <c r="G93" s="21">
        <v>17.399999999999999</v>
      </c>
      <c r="H93" s="21" t="s">
        <v>140</v>
      </c>
      <c r="I93" s="21"/>
      <c r="J93" s="21"/>
      <c r="K93" s="18"/>
    </row>
    <row r="94" spans="1:11">
      <c r="A94" s="2" t="s">
        <v>106</v>
      </c>
      <c r="B94" s="20" t="s">
        <v>104</v>
      </c>
      <c r="C94" s="21">
        <v>92.3</v>
      </c>
      <c r="D94" s="21">
        <v>85.3</v>
      </c>
      <c r="E94" s="21" t="s">
        <v>107</v>
      </c>
      <c r="F94" s="21">
        <v>14.7</v>
      </c>
      <c r="G94" s="21">
        <v>20.8</v>
      </c>
      <c r="H94" s="21" t="s">
        <v>134</v>
      </c>
      <c r="I94" s="21"/>
      <c r="J94" s="21"/>
      <c r="K94" s="18"/>
    </row>
    <row r="95" spans="1:11">
      <c r="A95" s="2" t="s">
        <v>106</v>
      </c>
      <c r="B95" s="20" t="s">
        <v>104</v>
      </c>
      <c r="C95" s="21">
        <v>91.4</v>
      </c>
      <c r="D95" s="21">
        <v>142.4</v>
      </c>
      <c r="E95" s="21">
        <v>601.4</v>
      </c>
      <c r="F95" s="21">
        <v>10.6</v>
      </c>
      <c r="G95" s="21">
        <v>18.2</v>
      </c>
      <c r="H95" s="21" t="s">
        <v>133</v>
      </c>
      <c r="I95" s="21"/>
      <c r="J95" s="21"/>
      <c r="K95" s="18"/>
    </row>
    <row r="96" spans="1:11">
      <c r="A96" s="2" t="s">
        <v>106</v>
      </c>
      <c r="B96" s="20" t="s">
        <v>109</v>
      </c>
      <c r="C96" s="21">
        <v>91.1</v>
      </c>
      <c r="D96" s="21">
        <v>103.2</v>
      </c>
      <c r="E96" s="21">
        <v>638.79999999999995</v>
      </c>
      <c r="F96" s="21">
        <v>5.8</v>
      </c>
      <c r="G96" s="21">
        <v>23.4</v>
      </c>
      <c r="H96" s="21" t="s">
        <v>171</v>
      </c>
      <c r="I96" s="21"/>
      <c r="J96" s="21"/>
      <c r="K96" s="18"/>
    </row>
    <row r="97" spans="1:11">
      <c r="A97" s="2" t="s">
        <v>113</v>
      </c>
      <c r="B97" s="20" t="s">
        <v>104</v>
      </c>
      <c r="C97" s="21">
        <v>89.7</v>
      </c>
      <c r="D97" s="21" t="s">
        <v>145</v>
      </c>
      <c r="E97" s="21">
        <v>704.4</v>
      </c>
      <c r="F97" s="21">
        <v>4.8</v>
      </c>
      <c r="G97" s="21">
        <v>17.8</v>
      </c>
      <c r="H97" s="21" t="s">
        <v>172</v>
      </c>
      <c r="I97" s="21"/>
      <c r="J97" s="21"/>
      <c r="K97" s="18"/>
    </row>
    <row r="98" spans="1:11">
      <c r="A98" s="2" t="s">
        <v>159</v>
      </c>
      <c r="B98" s="20" t="s">
        <v>99</v>
      </c>
      <c r="C98" s="21">
        <v>83.9</v>
      </c>
      <c r="D98" s="21" t="s">
        <v>111</v>
      </c>
      <c r="E98" s="21">
        <v>30.2</v>
      </c>
      <c r="F98" s="21">
        <v>2.6</v>
      </c>
      <c r="G98" s="21">
        <v>12.7</v>
      </c>
      <c r="H98" s="21" t="s">
        <v>139</v>
      </c>
      <c r="I98" s="21"/>
      <c r="J98" s="21"/>
      <c r="K98" s="18"/>
    </row>
    <row r="99" spans="1:11">
      <c r="A99" s="2" t="s">
        <v>90</v>
      </c>
      <c r="B99" s="20" t="s">
        <v>99</v>
      </c>
      <c r="C99" s="21" t="s">
        <v>173</v>
      </c>
      <c r="D99" s="21">
        <v>2.4</v>
      </c>
      <c r="E99" s="21">
        <v>15.5</v>
      </c>
      <c r="F99" s="21">
        <v>0.7</v>
      </c>
      <c r="G99" s="21">
        <v>17.399999999999999</v>
      </c>
      <c r="H99" s="21" t="s">
        <v>140</v>
      </c>
      <c r="I99" s="21"/>
      <c r="J99" s="21"/>
      <c r="K99" s="18"/>
    </row>
    <row r="100" spans="1:11">
      <c r="A100" s="2" t="s">
        <v>106</v>
      </c>
      <c r="B100" s="20" t="s">
        <v>104</v>
      </c>
      <c r="C100" s="21">
        <v>91.4</v>
      </c>
      <c r="D100" s="21">
        <v>142.4</v>
      </c>
      <c r="E100" s="21">
        <v>601.4</v>
      </c>
      <c r="F100" s="21">
        <v>10.6</v>
      </c>
      <c r="G100" s="21">
        <v>11.6</v>
      </c>
      <c r="H100" s="21" t="s">
        <v>174</v>
      </c>
      <c r="I100" s="21"/>
      <c r="J100" s="21"/>
      <c r="K100" s="18"/>
    </row>
    <row r="101" spans="1:11">
      <c r="A101" s="2" t="s">
        <v>106</v>
      </c>
      <c r="B101" s="20" t="s">
        <v>104</v>
      </c>
      <c r="C101" s="21">
        <v>91.4</v>
      </c>
      <c r="D101" s="21">
        <v>142.4</v>
      </c>
      <c r="E101" s="21">
        <v>601.4</v>
      </c>
      <c r="F101" s="21">
        <v>10.6</v>
      </c>
      <c r="G101" s="21">
        <v>19.8</v>
      </c>
      <c r="H101" s="21" t="s">
        <v>141</v>
      </c>
      <c r="I101" s="21"/>
      <c r="J101" s="21"/>
      <c r="K101" s="18"/>
    </row>
    <row r="102" spans="1:11">
      <c r="A102" s="2" t="s">
        <v>106</v>
      </c>
      <c r="B102" s="20" t="s">
        <v>104</v>
      </c>
      <c r="C102" s="21">
        <v>91.4</v>
      </c>
      <c r="D102" s="21">
        <v>142.4</v>
      </c>
      <c r="E102" s="21">
        <v>601.4</v>
      </c>
      <c r="F102" s="21">
        <v>10.6</v>
      </c>
      <c r="G102" s="21">
        <v>19.8</v>
      </c>
      <c r="H102" s="21" t="s">
        <v>141</v>
      </c>
      <c r="I102" s="21"/>
      <c r="J102" s="21"/>
      <c r="K102" s="18"/>
    </row>
    <row r="103" spans="1:11">
      <c r="A103" s="2" t="s">
        <v>106</v>
      </c>
      <c r="B103" s="20" t="s">
        <v>95</v>
      </c>
      <c r="C103" s="21">
        <v>88.8</v>
      </c>
      <c r="D103" s="21">
        <v>147.30000000000001</v>
      </c>
      <c r="E103" s="21">
        <v>614.5</v>
      </c>
      <c r="F103" s="21" t="s">
        <v>101</v>
      </c>
      <c r="G103" s="21">
        <v>14.4</v>
      </c>
      <c r="H103" s="21" t="s">
        <v>169</v>
      </c>
      <c r="I103" s="21"/>
      <c r="J103" s="21"/>
      <c r="K103" s="18"/>
    </row>
    <row r="104" spans="1:11">
      <c r="A104" s="2" t="s">
        <v>106</v>
      </c>
      <c r="B104" s="20" t="s">
        <v>95</v>
      </c>
      <c r="C104" s="21">
        <v>94.8</v>
      </c>
      <c r="D104" s="21">
        <v>108.3</v>
      </c>
      <c r="E104" s="21">
        <v>647.1</v>
      </c>
      <c r="F104" s="21" t="s">
        <v>120</v>
      </c>
      <c r="G104" s="21">
        <v>20.100000000000001</v>
      </c>
      <c r="H104" s="21" t="s">
        <v>117</v>
      </c>
      <c r="I104" s="21"/>
      <c r="J104" s="21"/>
      <c r="K104" s="18"/>
    </row>
    <row r="105" spans="1:11">
      <c r="A105" s="2" t="s">
        <v>113</v>
      </c>
      <c r="B105" s="20" t="s">
        <v>99</v>
      </c>
      <c r="C105" s="21">
        <v>92.5</v>
      </c>
      <c r="D105" s="21">
        <v>121.1</v>
      </c>
      <c r="E105" s="21">
        <v>674.4</v>
      </c>
      <c r="F105" s="21">
        <v>8.6</v>
      </c>
      <c r="G105" s="21">
        <v>24.1</v>
      </c>
      <c r="H105" s="21" t="s">
        <v>108</v>
      </c>
      <c r="I105" s="21"/>
      <c r="J105" s="21"/>
      <c r="K105" s="18"/>
    </row>
    <row r="106" spans="1:11">
      <c r="A106" s="2" t="s">
        <v>175</v>
      </c>
      <c r="B106" s="20" t="s">
        <v>99</v>
      </c>
      <c r="C106" s="21">
        <v>82.1</v>
      </c>
      <c r="D106" s="21">
        <v>3.7</v>
      </c>
      <c r="E106" s="21">
        <v>9.3000000000000007</v>
      </c>
      <c r="F106" s="21">
        <v>2.9</v>
      </c>
      <c r="G106" s="21">
        <v>5.3</v>
      </c>
      <c r="H106" s="21" t="s">
        <v>142</v>
      </c>
      <c r="I106" s="21"/>
      <c r="J106" s="21"/>
      <c r="K106" s="18"/>
    </row>
    <row r="107" spans="1:11">
      <c r="A107" s="2" t="s">
        <v>90</v>
      </c>
      <c r="B107" s="20" t="s">
        <v>91</v>
      </c>
      <c r="C107" s="21">
        <v>85.9</v>
      </c>
      <c r="D107" s="21">
        <v>19.5</v>
      </c>
      <c r="E107" s="21">
        <v>57.3</v>
      </c>
      <c r="F107" s="21">
        <v>2.8</v>
      </c>
      <c r="G107" s="21">
        <v>12.7</v>
      </c>
      <c r="H107" s="21" t="s">
        <v>176</v>
      </c>
      <c r="I107" s="21"/>
      <c r="J107" s="21"/>
      <c r="K107" s="18"/>
    </row>
    <row r="108" spans="1:11">
      <c r="A108" s="2" t="s">
        <v>90</v>
      </c>
      <c r="B108" s="20" t="s">
        <v>155</v>
      </c>
      <c r="C108" s="21">
        <v>91.4</v>
      </c>
      <c r="D108" s="21">
        <v>30.7</v>
      </c>
      <c r="E108" s="21">
        <v>74.3</v>
      </c>
      <c r="F108" s="21">
        <v>7.5</v>
      </c>
      <c r="G108" s="21">
        <v>18.2</v>
      </c>
      <c r="H108" s="21" t="s">
        <v>108</v>
      </c>
      <c r="I108" s="21"/>
      <c r="J108" s="21"/>
      <c r="K108" s="18"/>
    </row>
    <row r="109" spans="1:11">
      <c r="A109" s="2" t="s">
        <v>106</v>
      </c>
      <c r="B109" s="20" t="s">
        <v>104</v>
      </c>
      <c r="C109" s="21">
        <v>90.2</v>
      </c>
      <c r="D109" s="21">
        <v>99.6</v>
      </c>
      <c r="E109" s="21">
        <v>631.20000000000005</v>
      </c>
      <c r="F109" s="21">
        <v>6.3</v>
      </c>
      <c r="G109" s="21">
        <v>21.4</v>
      </c>
      <c r="H109" s="21" t="s">
        <v>97</v>
      </c>
      <c r="I109" s="21"/>
      <c r="J109" s="21"/>
      <c r="K109" s="18"/>
    </row>
    <row r="110" spans="1:11">
      <c r="A110" s="2" t="s">
        <v>113</v>
      </c>
      <c r="B110" s="20" t="s">
        <v>99</v>
      </c>
      <c r="C110" s="21">
        <v>92.5</v>
      </c>
      <c r="D110" s="21" t="s">
        <v>116</v>
      </c>
      <c r="E110" s="21">
        <v>698.6</v>
      </c>
      <c r="F110" s="21">
        <v>7.1</v>
      </c>
      <c r="G110" s="21">
        <v>20.3</v>
      </c>
      <c r="H110" s="21" t="s">
        <v>157</v>
      </c>
      <c r="I110" s="21"/>
      <c r="J110" s="21"/>
      <c r="K110" s="18"/>
    </row>
    <row r="111" spans="1:11">
      <c r="A111" s="2" t="s">
        <v>113</v>
      </c>
      <c r="B111" s="20" t="s">
        <v>109</v>
      </c>
      <c r="C111" s="21">
        <v>88.6</v>
      </c>
      <c r="D111" s="21">
        <v>91.8</v>
      </c>
      <c r="E111" s="21">
        <v>709.9</v>
      </c>
      <c r="F111" s="21">
        <v>7.1</v>
      </c>
      <c r="G111" s="21">
        <v>17.399999999999999</v>
      </c>
      <c r="H111" s="21" t="s">
        <v>177</v>
      </c>
      <c r="I111" s="21"/>
      <c r="J111" s="21"/>
      <c r="K111" s="18"/>
    </row>
    <row r="112" spans="1:11">
      <c r="A112" s="2" t="s">
        <v>90</v>
      </c>
      <c r="B112" s="20" t="s">
        <v>91</v>
      </c>
      <c r="C112" s="21">
        <v>85.9</v>
      </c>
      <c r="D112" s="21">
        <v>19.5</v>
      </c>
      <c r="E112" s="21">
        <v>57.3</v>
      </c>
      <c r="F112" s="21">
        <v>2.8</v>
      </c>
      <c r="G112" s="21">
        <v>13.7</v>
      </c>
      <c r="H112" s="21" t="s">
        <v>133</v>
      </c>
      <c r="I112" s="21"/>
      <c r="J112" s="21"/>
      <c r="K112" s="18"/>
    </row>
    <row r="113" spans="1:11">
      <c r="A113" s="2" t="s">
        <v>90</v>
      </c>
      <c r="B113" s="20" t="s">
        <v>91</v>
      </c>
      <c r="C113" s="21">
        <v>91.7</v>
      </c>
      <c r="D113" s="21">
        <v>33.299999999999997</v>
      </c>
      <c r="E113" s="21">
        <v>77.5</v>
      </c>
      <c r="F113" s="21" t="s">
        <v>101</v>
      </c>
      <c r="G113" s="21">
        <v>18.8</v>
      </c>
      <c r="H113" s="21" t="s">
        <v>96</v>
      </c>
      <c r="I113" s="21"/>
      <c r="J113" s="21"/>
      <c r="K113" s="18"/>
    </row>
    <row r="114" spans="1:11">
      <c r="A114" s="2" t="s">
        <v>113</v>
      </c>
      <c r="B114" s="20" t="s">
        <v>104</v>
      </c>
      <c r="C114" s="21">
        <v>89.7</v>
      </c>
      <c r="D114" s="21" t="s">
        <v>145</v>
      </c>
      <c r="E114" s="21">
        <v>704.4</v>
      </c>
      <c r="F114" s="21">
        <v>4.8</v>
      </c>
      <c r="G114" s="21">
        <v>22.8</v>
      </c>
      <c r="H114" s="21" t="s">
        <v>141</v>
      </c>
      <c r="I114" s="21"/>
      <c r="J114" s="21"/>
      <c r="K114" s="18"/>
    </row>
    <row r="115" spans="1:11">
      <c r="A115" s="2" t="s">
        <v>113</v>
      </c>
      <c r="B115" s="20" t="s">
        <v>109</v>
      </c>
      <c r="C115" s="21">
        <v>91.8</v>
      </c>
      <c r="D115" s="21">
        <v>78.5</v>
      </c>
      <c r="E115" s="21">
        <v>724.3</v>
      </c>
      <c r="F115" s="21">
        <v>9.1999999999999993</v>
      </c>
      <c r="G115" s="21">
        <v>18.899999999999999</v>
      </c>
      <c r="H115" s="21" t="s">
        <v>129</v>
      </c>
      <c r="I115" s="21"/>
      <c r="J115" s="21"/>
      <c r="K115" s="18"/>
    </row>
    <row r="116" spans="1:11">
      <c r="A116" s="2" t="s">
        <v>90</v>
      </c>
      <c r="B116" s="20" t="s">
        <v>95</v>
      </c>
      <c r="C116" s="21">
        <v>88.1</v>
      </c>
      <c r="D116" s="21">
        <v>25.7</v>
      </c>
      <c r="E116" s="21">
        <v>67.599999999999994</v>
      </c>
      <c r="F116" s="21">
        <v>3.8</v>
      </c>
      <c r="G116" s="21">
        <v>15.8</v>
      </c>
      <c r="H116" s="21" t="s">
        <v>110</v>
      </c>
      <c r="I116" s="21"/>
      <c r="J116" s="21"/>
      <c r="K116" s="18"/>
    </row>
    <row r="117" spans="1:11">
      <c r="A117" s="2" t="s">
        <v>90</v>
      </c>
      <c r="B117" s="20" t="s">
        <v>95</v>
      </c>
      <c r="C117" s="21">
        <v>88.1</v>
      </c>
      <c r="D117" s="21">
        <v>25.7</v>
      </c>
      <c r="E117" s="21">
        <v>67.599999999999994</v>
      </c>
      <c r="F117" s="21">
        <v>3.8</v>
      </c>
      <c r="G117" s="21">
        <v>15.5</v>
      </c>
      <c r="H117" s="21" t="s">
        <v>110</v>
      </c>
      <c r="I117" s="21"/>
      <c r="J117" s="21"/>
      <c r="K117" s="18"/>
    </row>
    <row r="118" spans="1:11">
      <c r="A118" s="2" t="s">
        <v>90</v>
      </c>
      <c r="B118" s="20" t="s">
        <v>99</v>
      </c>
      <c r="C118" s="21">
        <v>91.7</v>
      </c>
      <c r="D118" s="21">
        <v>35.799999999999997</v>
      </c>
      <c r="E118" s="21">
        <v>80.8</v>
      </c>
      <c r="F118" s="21">
        <v>7.8</v>
      </c>
      <c r="G118" s="21">
        <v>11.6</v>
      </c>
      <c r="H118" s="21" t="s">
        <v>166</v>
      </c>
      <c r="I118" s="21"/>
      <c r="J118" s="21"/>
      <c r="K118" s="18"/>
    </row>
    <row r="119" spans="1:11">
      <c r="A119" s="2" t="s">
        <v>90</v>
      </c>
      <c r="B119" s="20" t="s">
        <v>99</v>
      </c>
      <c r="C119" s="21">
        <v>91.7</v>
      </c>
      <c r="D119" s="21">
        <v>35.799999999999997</v>
      </c>
      <c r="E119" s="21">
        <v>80.8</v>
      </c>
      <c r="F119" s="21">
        <v>7.8</v>
      </c>
      <c r="G119" s="21">
        <v>15.2</v>
      </c>
      <c r="H119" s="21" t="s">
        <v>110</v>
      </c>
      <c r="I119" s="21"/>
      <c r="J119" s="21"/>
      <c r="K119" s="18"/>
    </row>
    <row r="120" spans="1:11">
      <c r="A120" s="2" t="s">
        <v>90</v>
      </c>
      <c r="B120" s="20" t="s">
        <v>109</v>
      </c>
      <c r="C120" s="21">
        <v>90.1</v>
      </c>
      <c r="D120" s="21">
        <v>39.700000000000003</v>
      </c>
      <c r="E120" s="21">
        <v>86.6</v>
      </c>
      <c r="F120" s="21">
        <v>6.2</v>
      </c>
      <c r="G120" s="21">
        <v>10.6</v>
      </c>
      <c r="H120" s="21" t="s">
        <v>166</v>
      </c>
      <c r="I120" s="21"/>
      <c r="J120" s="21"/>
      <c r="K120" s="18"/>
    </row>
    <row r="121" spans="1:11">
      <c r="A121" s="2" t="s">
        <v>106</v>
      </c>
      <c r="B121" s="20" t="s">
        <v>155</v>
      </c>
      <c r="C121" s="21" t="s">
        <v>162</v>
      </c>
      <c r="D121" s="21">
        <v>75.3</v>
      </c>
      <c r="E121" s="21">
        <v>466.6</v>
      </c>
      <c r="F121" s="21">
        <v>7.7</v>
      </c>
      <c r="G121" s="21">
        <v>19.600000000000001</v>
      </c>
      <c r="H121" s="21" t="s">
        <v>152</v>
      </c>
      <c r="I121" s="21"/>
      <c r="J121" s="21"/>
      <c r="K121" s="18"/>
    </row>
    <row r="122" spans="1:11">
      <c r="A122" s="2" t="s">
        <v>106</v>
      </c>
      <c r="B122" s="20" t="s">
        <v>109</v>
      </c>
      <c r="C122" s="21">
        <v>91.5</v>
      </c>
      <c r="D122" s="21">
        <v>145.4</v>
      </c>
      <c r="E122" s="21">
        <v>608.20000000000005</v>
      </c>
      <c r="F122" s="21">
        <v>10.7</v>
      </c>
      <c r="G122" s="21">
        <v>10.3</v>
      </c>
      <c r="H122" s="21" t="s">
        <v>148</v>
      </c>
      <c r="I122" s="21"/>
      <c r="J122" s="21"/>
      <c r="K122" s="18"/>
    </row>
    <row r="123" spans="1:11">
      <c r="A123" s="2" t="s">
        <v>106</v>
      </c>
      <c r="B123" s="20" t="s">
        <v>109</v>
      </c>
      <c r="C123" s="21">
        <v>91.5</v>
      </c>
      <c r="D123" s="21">
        <v>145.4</v>
      </c>
      <c r="E123" s="21">
        <v>608.20000000000005</v>
      </c>
      <c r="F123" s="21">
        <v>10.7</v>
      </c>
      <c r="G123" s="21">
        <v>17.100000000000001</v>
      </c>
      <c r="H123" s="21" t="s">
        <v>133</v>
      </c>
      <c r="I123" s="21"/>
      <c r="J123" s="21"/>
      <c r="K123" s="18"/>
    </row>
    <row r="124" spans="1:11">
      <c r="A124" s="2" t="s">
        <v>113</v>
      </c>
      <c r="B124" s="20" t="s">
        <v>104</v>
      </c>
      <c r="C124" s="21">
        <v>92.4</v>
      </c>
      <c r="D124" s="21">
        <v>124.1</v>
      </c>
      <c r="E124" s="21">
        <v>680.7</v>
      </c>
      <c r="F124" s="21">
        <v>8.5</v>
      </c>
      <c r="G124" s="21">
        <v>22.5</v>
      </c>
      <c r="H124" s="21" t="s">
        <v>123</v>
      </c>
      <c r="I124" s="21"/>
      <c r="J124" s="21"/>
      <c r="K124" s="18"/>
    </row>
    <row r="125" spans="1:11">
      <c r="A125" s="2" t="s">
        <v>113</v>
      </c>
      <c r="B125" s="20" t="s">
        <v>95</v>
      </c>
      <c r="C125" s="21">
        <v>84.4</v>
      </c>
      <c r="D125" s="21">
        <v>73.400000000000006</v>
      </c>
      <c r="E125" s="21">
        <v>671.9</v>
      </c>
      <c r="F125" s="21">
        <v>3.2</v>
      </c>
      <c r="G125" s="21">
        <v>17.899999999999999</v>
      </c>
      <c r="H125" s="21" t="s">
        <v>157</v>
      </c>
      <c r="I125" s="21"/>
      <c r="J125" s="21"/>
      <c r="K125" s="18"/>
    </row>
    <row r="126" spans="1:11">
      <c r="A126" s="2" t="s">
        <v>113</v>
      </c>
      <c r="B126" s="20" t="s">
        <v>91</v>
      </c>
      <c r="C126" s="21">
        <v>94.3</v>
      </c>
      <c r="D126" s="21">
        <v>85.1</v>
      </c>
      <c r="E126" s="21">
        <v>692.3</v>
      </c>
      <c r="F126" s="21">
        <v>15.9</v>
      </c>
      <c r="G126" s="21">
        <v>19.8</v>
      </c>
      <c r="H126" s="21" t="s">
        <v>158</v>
      </c>
      <c r="I126" s="21"/>
      <c r="J126" s="21"/>
      <c r="K126" s="18"/>
    </row>
    <row r="127" spans="1:11">
      <c r="A127" s="2" t="s">
        <v>94</v>
      </c>
      <c r="B127" s="20" t="s">
        <v>104</v>
      </c>
      <c r="C127" s="21">
        <v>92.6</v>
      </c>
      <c r="D127" s="21">
        <v>46.5</v>
      </c>
      <c r="E127" s="21">
        <v>691.8</v>
      </c>
      <c r="F127" s="21">
        <v>8.8000000000000007</v>
      </c>
      <c r="G127" s="21">
        <v>20.6</v>
      </c>
      <c r="H127" s="21" t="s">
        <v>140</v>
      </c>
      <c r="I127" s="21"/>
      <c r="J127" s="21"/>
      <c r="K127" s="18"/>
    </row>
    <row r="128" spans="1:11">
      <c r="A128" s="2" t="s">
        <v>90</v>
      </c>
      <c r="B128" s="20" t="s">
        <v>109</v>
      </c>
      <c r="C128" s="21">
        <v>87.6</v>
      </c>
      <c r="D128" s="21">
        <v>52.2</v>
      </c>
      <c r="E128" s="21">
        <v>103.8</v>
      </c>
      <c r="F128" s="21" t="s">
        <v>153</v>
      </c>
      <c r="G128" s="21" t="s">
        <v>101</v>
      </c>
      <c r="H128" s="21" t="s">
        <v>178</v>
      </c>
      <c r="I128" s="21"/>
      <c r="J128" s="21"/>
      <c r="K128" s="18"/>
    </row>
    <row r="129" spans="1:11">
      <c r="A129" s="2" t="s">
        <v>113</v>
      </c>
      <c r="B129" s="20" t="s">
        <v>91</v>
      </c>
      <c r="C129" s="21">
        <v>93.5</v>
      </c>
      <c r="D129" s="21">
        <v>149.30000000000001</v>
      </c>
      <c r="E129" s="21">
        <v>728.6</v>
      </c>
      <c r="F129" s="21">
        <v>8.1</v>
      </c>
      <c r="G129" s="21">
        <v>17.2</v>
      </c>
      <c r="H129" s="21" t="s">
        <v>133</v>
      </c>
      <c r="I129" s="21"/>
      <c r="J129" s="21"/>
      <c r="K129" s="18"/>
    </row>
    <row r="130" spans="1:11">
      <c r="A130" s="2" t="s">
        <v>94</v>
      </c>
      <c r="B130" s="20" t="s">
        <v>124</v>
      </c>
      <c r="C130" s="21">
        <v>91.4</v>
      </c>
      <c r="D130" s="21">
        <v>37.9</v>
      </c>
      <c r="E130" s="21">
        <v>673.8</v>
      </c>
      <c r="F130" s="21">
        <v>5.2</v>
      </c>
      <c r="G130" s="21">
        <v>15.9</v>
      </c>
      <c r="H130" s="21" t="s">
        <v>154</v>
      </c>
      <c r="I130" s="21"/>
      <c r="J130" s="21"/>
      <c r="K130" s="18"/>
    </row>
    <row r="131" spans="1:11">
      <c r="A131" s="2" t="s">
        <v>94</v>
      </c>
      <c r="B131" s="20" t="s">
        <v>104</v>
      </c>
      <c r="C131" s="21">
        <v>92.6</v>
      </c>
      <c r="D131" s="21">
        <v>46.5</v>
      </c>
      <c r="E131" s="21">
        <v>691.8</v>
      </c>
      <c r="F131" s="21">
        <v>8.8000000000000007</v>
      </c>
      <c r="G131" s="21">
        <v>15.4</v>
      </c>
      <c r="H131" s="21" t="s">
        <v>129</v>
      </c>
      <c r="I131" s="21"/>
      <c r="J131" s="21"/>
      <c r="K131" s="18"/>
    </row>
    <row r="132" spans="1:11">
      <c r="A132" s="2" t="s">
        <v>159</v>
      </c>
      <c r="B132" s="20" t="s">
        <v>99</v>
      </c>
      <c r="C132" s="21">
        <v>68.2</v>
      </c>
      <c r="D132" s="21">
        <v>21.5</v>
      </c>
      <c r="E132" s="21">
        <v>87.2</v>
      </c>
      <c r="F132" s="21">
        <v>0.8</v>
      </c>
      <c r="G132" s="21">
        <v>15.4</v>
      </c>
      <c r="H132" s="21" t="s">
        <v>117</v>
      </c>
      <c r="I132" s="21"/>
      <c r="J132" s="21"/>
      <c r="K132" s="18"/>
    </row>
    <row r="133" spans="1:11">
      <c r="A133" s="2" t="s">
        <v>90</v>
      </c>
      <c r="B133" s="20" t="s">
        <v>109</v>
      </c>
      <c r="C133" s="21">
        <v>87.2</v>
      </c>
      <c r="D133" s="21">
        <v>23.9</v>
      </c>
      <c r="E133" s="21">
        <v>64.7</v>
      </c>
      <c r="F133" s="21">
        <v>4.0999999999999996</v>
      </c>
      <c r="G133" s="21" t="s">
        <v>179</v>
      </c>
      <c r="H133" s="21" t="s">
        <v>141</v>
      </c>
      <c r="I133" s="21"/>
      <c r="J133" s="21"/>
      <c r="K133" s="18"/>
    </row>
    <row r="134" spans="1:11">
      <c r="A134" s="2" t="s">
        <v>90</v>
      </c>
      <c r="B134" s="20" t="s">
        <v>104</v>
      </c>
      <c r="C134" s="21">
        <v>89.3</v>
      </c>
      <c r="D134" s="21">
        <v>51.3</v>
      </c>
      <c r="E134" s="21">
        <v>102.2</v>
      </c>
      <c r="F134" s="21">
        <v>9.6</v>
      </c>
      <c r="G134" s="21">
        <v>10.6</v>
      </c>
      <c r="H134" s="21" t="s">
        <v>154</v>
      </c>
      <c r="I134" s="21"/>
      <c r="J134" s="21"/>
      <c r="K134" s="18"/>
    </row>
    <row r="135" spans="1:11">
      <c r="A135" s="2" t="s">
        <v>113</v>
      </c>
      <c r="B135" s="20" t="s">
        <v>155</v>
      </c>
      <c r="C135" s="21">
        <v>93.7</v>
      </c>
      <c r="D135" s="21">
        <v>80.900000000000006</v>
      </c>
      <c r="E135" s="21">
        <v>685.2</v>
      </c>
      <c r="F135" s="21">
        <v>17.899999999999999</v>
      </c>
      <c r="G135" s="21">
        <v>17.600000000000001</v>
      </c>
      <c r="H135" s="21" t="s">
        <v>123</v>
      </c>
      <c r="I135" s="21"/>
      <c r="J135" s="21"/>
      <c r="K135" s="18"/>
    </row>
    <row r="136" spans="1:11">
      <c r="A136" s="2" t="s">
        <v>90</v>
      </c>
      <c r="B136" s="20" t="s">
        <v>95</v>
      </c>
      <c r="C136" s="21">
        <v>88.1</v>
      </c>
      <c r="D136" s="21">
        <v>25.7</v>
      </c>
      <c r="E136" s="21">
        <v>67.599999999999994</v>
      </c>
      <c r="F136" s="21">
        <v>3.8</v>
      </c>
      <c r="G136" s="21">
        <v>14.9</v>
      </c>
      <c r="H136" s="21" t="s">
        <v>119</v>
      </c>
      <c r="I136" s="21"/>
      <c r="J136" s="21"/>
      <c r="K136" s="18"/>
    </row>
    <row r="137" spans="1:11">
      <c r="A137" s="2" t="s">
        <v>106</v>
      </c>
      <c r="B137" s="20" t="s">
        <v>99</v>
      </c>
      <c r="C137" s="21">
        <v>93.5</v>
      </c>
      <c r="D137" s="21">
        <v>139.4</v>
      </c>
      <c r="E137" s="21">
        <v>594.20000000000005</v>
      </c>
      <c r="F137" s="21">
        <v>20.3</v>
      </c>
      <c r="G137" s="21">
        <v>17.600000000000001</v>
      </c>
      <c r="H137" s="21" t="s">
        <v>176</v>
      </c>
      <c r="I137" s="21"/>
      <c r="J137" s="21"/>
      <c r="K137" s="18"/>
    </row>
    <row r="138" spans="1:11">
      <c r="A138" s="2" t="s">
        <v>113</v>
      </c>
      <c r="B138" s="20" t="s">
        <v>104</v>
      </c>
      <c r="C138" s="21">
        <v>92.4</v>
      </c>
      <c r="D138" s="21">
        <v>124.1</v>
      </c>
      <c r="E138" s="21">
        <v>680.7</v>
      </c>
      <c r="F138" s="21">
        <v>8.5</v>
      </c>
      <c r="G138" s="21">
        <v>17.2</v>
      </c>
      <c r="H138" s="21" t="s">
        <v>180</v>
      </c>
      <c r="I138" s="21"/>
      <c r="J138" s="21"/>
      <c r="K138" s="18"/>
    </row>
    <row r="139" spans="1:11">
      <c r="A139" s="2" t="s">
        <v>113</v>
      </c>
      <c r="B139" s="20" t="s">
        <v>109</v>
      </c>
      <c r="C139" s="21">
        <v>90.9</v>
      </c>
      <c r="D139" s="21">
        <v>126.5</v>
      </c>
      <c r="E139" s="21">
        <v>686.5</v>
      </c>
      <c r="F139" s="21" t="s">
        <v>122</v>
      </c>
      <c r="G139" s="21">
        <v>15.6</v>
      </c>
      <c r="H139" s="21" t="s">
        <v>169</v>
      </c>
      <c r="I139" s="21"/>
      <c r="J139" s="21"/>
      <c r="K139" s="18"/>
    </row>
    <row r="140" spans="1:11">
      <c r="A140" s="2" t="s">
        <v>146</v>
      </c>
      <c r="B140" s="20" t="s">
        <v>95</v>
      </c>
      <c r="C140" s="21">
        <v>85.8</v>
      </c>
      <c r="D140" s="21">
        <v>48.3</v>
      </c>
      <c r="E140" s="21">
        <v>313.39999999999998</v>
      </c>
      <c r="F140" s="21">
        <v>3.9</v>
      </c>
      <c r="G140" s="21" t="s">
        <v>96</v>
      </c>
      <c r="H140" s="21" t="s">
        <v>123</v>
      </c>
      <c r="I140" s="21"/>
      <c r="J140" s="21"/>
      <c r="K140" s="18"/>
    </row>
    <row r="141" spans="1:11">
      <c r="A141" s="2" t="s">
        <v>113</v>
      </c>
      <c r="B141" s="20" t="s">
        <v>95</v>
      </c>
      <c r="C141" s="21" t="s">
        <v>114</v>
      </c>
      <c r="D141" s="21">
        <v>129.5</v>
      </c>
      <c r="E141" s="21">
        <v>692.6</v>
      </c>
      <c r="F141" s="21" t="s">
        <v>122</v>
      </c>
      <c r="G141" s="21">
        <v>21.7</v>
      </c>
      <c r="H141" s="21" t="s">
        <v>119</v>
      </c>
      <c r="I141" s="21"/>
      <c r="J141" s="21"/>
      <c r="K141" s="18"/>
    </row>
    <row r="142" spans="1:11">
      <c r="A142" s="2" t="s">
        <v>113</v>
      </c>
      <c r="B142" s="20" t="s">
        <v>109</v>
      </c>
      <c r="C142" s="21">
        <v>90.9</v>
      </c>
      <c r="D142" s="21">
        <v>126.5</v>
      </c>
      <c r="E142" s="21">
        <v>686.5</v>
      </c>
      <c r="F142" s="21" t="s">
        <v>122</v>
      </c>
      <c r="G142" s="21">
        <v>21.9</v>
      </c>
      <c r="H142" s="21" t="s">
        <v>141</v>
      </c>
      <c r="I142" s="21"/>
      <c r="J142" s="21"/>
      <c r="K142" s="18"/>
    </row>
    <row r="143" spans="1:11">
      <c r="A143" s="2" t="s">
        <v>106</v>
      </c>
      <c r="B143" s="20" t="s">
        <v>124</v>
      </c>
      <c r="C143" s="21">
        <v>95.5</v>
      </c>
      <c r="D143" s="21">
        <v>99.9</v>
      </c>
      <c r="E143" s="21">
        <v>513.29999999999995</v>
      </c>
      <c r="F143" s="21">
        <v>13.2</v>
      </c>
      <c r="G143" s="21">
        <v>23.3</v>
      </c>
      <c r="H143" s="21" t="s">
        <v>163</v>
      </c>
      <c r="I143" s="21"/>
      <c r="J143" s="21"/>
      <c r="K143" s="18"/>
    </row>
    <row r="144" spans="1:11">
      <c r="A144" s="2" t="s">
        <v>106</v>
      </c>
      <c r="B144" s="20" t="s">
        <v>91</v>
      </c>
      <c r="C144" s="21">
        <v>90.1</v>
      </c>
      <c r="D144" s="21" t="s">
        <v>168</v>
      </c>
      <c r="E144" s="21">
        <v>529.79999999999995</v>
      </c>
      <c r="F144" s="21">
        <v>12.5</v>
      </c>
      <c r="G144" s="21">
        <v>21.2</v>
      </c>
      <c r="H144" s="21" t="s">
        <v>92</v>
      </c>
      <c r="I144" s="21"/>
      <c r="J144" s="21"/>
      <c r="K144" s="18"/>
    </row>
    <row r="145" spans="1:11">
      <c r="A145" s="2" t="s">
        <v>146</v>
      </c>
      <c r="B145" s="20" t="s">
        <v>99</v>
      </c>
      <c r="C145" s="21" t="s">
        <v>145</v>
      </c>
      <c r="D145" s="21">
        <v>51.3</v>
      </c>
      <c r="E145" s="21">
        <v>296.3</v>
      </c>
      <c r="F145" s="21">
        <v>8.6999999999999993</v>
      </c>
      <c r="G145" s="21">
        <v>16.600000000000001</v>
      </c>
      <c r="H145" s="21" t="s">
        <v>181</v>
      </c>
      <c r="I145" s="21"/>
      <c r="J145" s="21"/>
      <c r="K145" s="18"/>
    </row>
    <row r="146" spans="1:11">
      <c r="A146" s="2" t="s">
        <v>106</v>
      </c>
      <c r="B146" s="20" t="s">
        <v>124</v>
      </c>
      <c r="C146" s="21">
        <v>95.5</v>
      </c>
      <c r="D146" s="21">
        <v>99.9</v>
      </c>
      <c r="E146" s="21">
        <v>513.29999999999995</v>
      </c>
      <c r="F146" s="21">
        <v>13.2</v>
      </c>
      <c r="G146" s="21">
        <v>23.8</v>
      </c>
      <c r="H146" s="21" t="s">
        <v>134</v>
      </c>
      <c r="I146" s="21"/>
      <c r="J146" s="21"/>
      <c r="K146" s="18"/>
    </row>
    <row r="147" spans="1:11">
      <c r="A147" s="2" t="s">
        <v>106</v>
      </c>
      <c r="B147" s="20" t="s">
        <v>155</v>
      </c>
      <c r="C147" s="21">
        <v>95.2</v>
      </c>
      <c r="D147" s="21">
        <v>131.69999999999999</v>
      </c>
      <c r="E147" s="21">
        <v>578.79999999999995</v>
      </c>
      <c r="F147" s="21">
        <v>10.4</v>
      </c>
      <c r="G147" s="21">
        <v>27.4</v>
      </c>
      <c r="H147" s="21" t="s">
        <v>171</v>
      </c>
      <c r="I147" s="21"/>
      <c r="J147" s="21"/>
      <c r="K147" s="18"/>
    </row>
    <row r="148" spans="1:11">
      <c r="A148" s="2" t="s">
        <v>90</v>
      </c>
      <c r="B148" s="20" t="s">
        <v>109</v>
      </c>
      <c r="C148" s="21">
        <v>90.1</v>
      </c>
      <c r="D148" s="21">
        <v>39.700000000000003</v>
      </c>
      <c r="E148" s="21">
        <v>86.6</v>
      </c>
      <c r="F148" s="21">
        <v>6.2</v>
      </c>
      <c r="G148" s="21">
        <v>13.2</v>
      </c>
      <c r="H148" s="21" t="s">
        <v>117</v>
      </c>
      <c r="I148" s="21"/>
      <c r="J148" s="21"/>
      <c r="K148" s="18"/>
    </row>
    <row r="149" spans="1:11">
      <c r="A149" s="2" t="s">
        <v>113</v>
      </c>
      <c r="B149" s="20" t="s">
        <v>95</v>
      </c>
      <c r="C149" s="21">
        <v>84.4</v>
      </c>
      <c r="D149" s="21">
        <v>73.400000000000006</v>
      </c>
      <c r="E149" s="21">
        <v>671.9</v>
      </c>
      <c r="F149" s="21">
        <v>3.2</v>
      </c>
      <c r="G149" s="21">
        <v>24.2</v>
      </c>
      <c r="H149" s="21" t="s">
        <v>182</v>
      </c>
      <c r="I149" s="21"/>
      <c r="J149" s="21"/>
      <c r="K149" s="18"/>
    </row>
    <row r="150" spans="1:11">
      <c r="A150" s="2" t="s">
        <v>106</v>
      </c>
      <c r="B150" s="20" t="s">
        <v>95</v>
      </c>
      <c r="C150" s="21">
        <v>94.8</v>
      </c>
      <c r="D150" s="21">
        <v>108.3</v>
      </c>
      <c r="E150" s="21">
        <v>647.1</v>
      </c>
      <c r="F150" s="21" t="s">
        <v>120</v>
      </c>
      <c r="G150" s="21">
        <v>17.399999999999999</v>
      </c>
      <c r="H150" s="21" t="s">
        <v>133</v>
      </c>
      <c r="I150" s="21"/>
      <c r="J150" s="21"/>
      <c r="K150" s="18"/>
    </row>
    <row r="151" spans="1:11">
      <c r="A151" s="2" t="s">
        <v>113</v>
      </c>
      <c r="B151" s="20" t="s">
        <v>155</v>
      </c>
      <c r="C151" s="21">
        <v>93.7</v>
      </c>
      <c r="D151" s="21">
        <v>80.900000000000006</v>
      </c>
      <c r="E151" s="21">
        <v>685.2</v>
      </c>
      <c r="F151" s="21">
        <v>17.899999999999999</v>
      </c>
      <c r="G151" s="21">
        <v>23.7</v>
      </c>
      <c r="H151" s="21" t="s">
        <v>165</v>
      </c>
      <c r="I151" s="21"/>
      <c r="J151" s="21"/>
      <c r="K151" s="18"/>
    </row>
    <row r="152" spans="1:11">
      <c r="A152" s="2" t="s">
        <v>131</v>
      </c>
      <c r="B152" s="20" t="s">
        <v>91</v>
      </c>
      <c r="C152" s="21">
        <v>92.5</v>
      </c>
      <c r="D152" s="21">
        <v>56.4</v>
      </c>
      <c r="E152" s="21">
        <v>433.3</v>
      </c>
      <c r="F152" s="21">
        <v>7.1</v>
      </c>
      <c r="G152" s="21">
        <v>23.2</v>
      </c>
      <c r="H152" s="21" t="s">
        <v>141</v>
      </c>
      <c r="I152" s="21"/>
      <c r="J152" s="21"/>
      <c r="K152" s="18"/>
    </row>
    <row r="153" spans="1:11">
      <c r="A153" s="2" t="s">
        <v>146</v>
      </c>
      <c r="B153" s="20" t="s">
        <v>104</v>
      </c>
      <c r="C153" s="21">
        <v>90.1</v>
      </c>
      <c r="D153" s="21">
        <v>68.599999999999994</v>
      </c>
      <c r="E153" s="21">
        <v>355.2</v>
      </c>
      <c r="F153" s="21">
        <v>7.2</v>
      </c>
      <c r="G153" s="21">
        <v>24.8</v>
      </c>
      <c r="H153" s="21" t="s">
        <v>108</v>
      </c>
      <c r="I153" s="21"/>
      <c r="J153" s="21"/>
      <c r="K153" s="18"/>
    </row>
    <row r="154" spans="1:11">
      <c r="A154" s="2" t="s">
        <v>146</v>
      </c>
      <c r="B154" s="20" t="s">
        <v>99</v>
      </c>
      <c r="C154" s="21">
        <v>90.1</v>
      </c>
      <c r="D154" s="21">
        <v>51.2</v>
      </c>
      <c r="E154" s="21">
        <v>424.1</v>
      </c>
      <c r="F154" s="21">
        <v>6.2</v>
      </c>
      <c r="G154" s="21">
        <v>24.6</v>
      </c>
      <c r="H154" s="21" t="s">
        <v>133</v>
      </c>
      <c r="I154" s="21"/>
      <c r="J154" s="21"/>
      <c r="K154" s="18"/>
    </row>
    <row r="155" spans="1:11">
      <c r="A155" s="2" t="s">
        <v>113</v>
      </c>
      <c r="B155" s="20" t="s">
        <v>91</v>
      </c>
      <c r="C155" s="21">
        <v>94.3</v>
      </c>
      <c r="D155" s="21">
        <v>85.1</v>
      </c>
      <c r="E155" s="21">
        <v>692.3</v>
      </c>
      <c r="F155" s="21">
        <v>15.9</v>
      </c>
      <c r="G155" s="21">
        <v>20.100000000000001</v>
      </c>
      <c r="H155" s="21" t="s">
        <v>128</v>
      </c>
      <c r="I155" s="21"/>
      <c r="J155" s="21"/>
      <c r="K155" s="18"/>
    </row>
    <row r="156" spans="1:11">
      <c r="A156" s="2" t="s">
        <v>113</v>
      </c>
      <c r="B156" s="20" t="s">
        <v>99</v>
      </c>
      <c r="C156" s="21">
        <v>93.4</v>
      </c>
      <c r="D156" s="21">
        <v>145.4</v>
      </c>
      <c r="E156" s="21">
        <v>721.4</v>
      </c>
      <c r="F156" s="21">
        <v>8.1</v>
      </c>
      <c r="G156" s="21">
        <v>29.6</v>
      </c>
      <c r="H156" s="21" t="s">
        <v>110</v>
      </c>
      <c r="I156" s="21"/>
      <c r="J156" s="21"/>
      <c r="K156" s="18"/>
    </row>
    <row r="157" spans="1:11">
      <c r="A157" s="2" t="s">
        <v>106</v>
      </c>
      <c r="B157" s="20" t="s">
        <v>104</v>
      </c>
      <c r="C157" s="21">
        <v>94.8</v>
      </c>
      <c r="D157" s="21">
        <v>108.3</v>
      </c>
      <c r="E157" s="21">
        <v>647.1</v>
      </c>
      <c r="F157" s="21" t="s">
        <v>120</v>
      </c>
      <c r="G157" s="21">
        <v>16.399999999999999</v>
      </c>
      <c r="H157" s="21" t="s">
        <v>128</v>
      </c>
      <c r="I157" s="21"/>
      <c r="J157" s="21"/>
      <c r="K157" s="18"/>
    </row>
    <row r="158" spans="1:11">
      <c r="A158" s="2" t="s">
        <v>113</v>
      </c>
      <c r="B158" s="20" t="s">
        <v>99</v>
      </c>
      <c r="C158" s="21">
        <v>93.4</v>
      </c>
      <c r="D158" s="21">
        <v>145.4</v>
      </c>
      <c r="E158" s="21">
        <v>721.4</v>
      </c>
      <c r="F158" s="21">
        <v>8.1</v>
      </c>
      <c r="G158" s="21">
        <v>28.6</v>
      </c>
      <c r="H158" s="21" t="s">
        <v>110</v>
      </c>
      <c r="I158" s="21"/>
      <c r="J158" s="21"/>
      <c r="K158" s="18"/>
    </row>
    <row r="159" spans="1:11">
      <c r="A159" s="2" t="s">
        <v>106</v>
      </c>
      <c r="B159" s="20" t="s">
        <v>124</v>
      </c>
      <c r="C159" s="21">
        <v>92.1</v>
      </c>
      <c r="D159" s="21">
        <v>111.2</v>
      </c>
      <c r="E159" s="21">
        <v>654.1</v>
      </c>
      <c r="F159" s="21">
        <v>9.6</v>
      </c>
      <c r="G159" s="21">
        <v>18.399999999999999</v>
      </c>
      <c r="H159" s="21" t="s">
        <v>157</v>
      </c>
      <c r="I159" s="21"/>
      <c r="J159" s="21"/>
      <c r="K159" s="18"/>
    </row>
    <row r="160" spans="1:11">
      <c r="A160" s="2" t="s">
        <v>106</v>
      </c>
      <c r="B160" s="20" t="s">
        <v>124</v>
      </c>
      <c r="C160" s="21">
        <v>92.1</v>
      </c>
      <c r="D160" s="21">
        <v>111.2</v>
      </c>
      <c r="E160" s="21">
        <v>654.1</v>
      </c>
      <c r="F160" s="21">
        <v>9.6</v>
      </c>
      <c r="G160" s="21">
        <v>20.5</v>
      </c>
      <c r="H160" s="21" t="s">
        <v>129</v>
      </c>
      <c r="I160" s="21"/>
      <c r="J160" s="21"/>
      <c r="K160" s="18"/>
    </row>
    <row r="161" spans="1:11">
      <c r="A161" s="2" t="s">
        <v>113</v>
      </c>
      <c r="B161" s="20" t="s">
        <v>91</v>
      </c>
      <c r="C161" s="21">
        <v>92.4</v>
      </c>
      <c r="D161" s="21">
        <v>117.9</v>
      </c>
      <c r="E161" s="21" t="s">
        <v>136</v>
      </c>
      <c r="F161" s="21">
        <v>12.2</v>
      </c>
      <c r="G161" s="21" t="s">
        <v>137</v>
      </c>
      <c r="H161" s="21" t="s">
        <v>138</v>
      </c>
      <c r="I161" s="21"/>
      <c r="J161" s="21"/>
      <c r="K161" s="18"/>
    </row>
    <row r="162" spans="1:11">
      <c r="A162" s="2" t="s">
        <v>90</v>
      </c>
      <c r="B162" s="20" t="s">
        <v>109</v>
      </c>
      <c r="C162" s="21">
        <v>90.1</v>
      </c>
      <c r="D162" s="21">
        <v>39.700000000000003</v>
      </c>
      <c r="E162" s="21">
        <v>86.6</v>
      </c>
      <c r="F162" s="21">
        <v>6.2</v>
      </c>
      <c r="G162" s="21">
        <v>16.100000000000001</v>
      </c>
      <c r="H162" s="21" t="s">
        <v>108</v>
      </c>
      <c r="I162" s="21"/>
      <c r="J162" s="21"/>
      <c r="K162" s="18"/>
    </row>
    <row r="163" spans="1:11">
      <c r="A163" s="2" t="s">
        <v>106</v>
      </c>
      <c r="B163" s="20" t="s">
        <v>155</v>
      </c>
      <c r="C163" s="21">
        <v>95.2</v>
      </c>
      <c r="D163" s="21">
        <v>131.69999999999999</v>
      </c>
      <c r="E163" s="21">
        <v>578.79999999999995</v>
      </c>
      <c r="F163" s="21">
        <v>10.4</v>
      </c>
      <c r="G163" s="21">
        <v>20.3</v>
      </c>
      <c r="H163" s="21" t="s">
        <v>183</v>
      </c>
      <c r="I163" s="21"/>
      <c r="J163" s="21"/>
      <c r="K163" s="18"/>
    </row>
    <row r="164" spans="1:11">
      <c r="A164" s="2" t="s">
        <v>90</v>
      </c>
      <c r="B164" s="20" t="s">
        <v>99</v>
      </c>
      <c r="C164" s="21">
        <v>90.6</v>
      </c>
      <c r="D164" s="21">
        <v>50.1</v>
      </c>
      <c r="E164" s="21">
        <v>100.4</v>
      </c>
      <c r="F164" s="21">
        <v>7.8</v>
      </c>
      <c r="G164" s="21">
        <v>15.2</v>
      </c>
      <c r="H164" s="21" t="s">
        <v>163</v>
      </c>
      <c r="I164" s="21"/>
      <c r="J164" s="21"/>
      <c r="K164" s="18"/>
    </row>
    <row r="165" spans="1:11">
      <c r="A165" s="2" t="s">
        <v>113</v>
      </c>
      <c r="B165" s="20" t="s">
        <v>99</v>
      </c>
      <c r="C165" s="21">
        <v>92.5</v>
      </c>
      <c r="D165" s="21">
        <v>121.1</v>
      </c>
      <c r="E165" s="21">
        <v>674.4</v>
      </c>
      <c r="F165" s="21">
        <v>8.6</v>
      </c>
      <c r="G165" s="21">
        <v>17.8</v>
      </c>
      <c r="H165" s="21" t="s">
        <v>177</v>
      </c>
      <c r="I165" s="21"/>
      <c r="J165" s="21"/>
      <c r="K165" s="18"/>
    </row>
    <row r="166" spans="1:11">
      <c r="A166" s="2" t="s">
        <v>113</v>
      </c>
      <c r="B166" s="20" t="s">
        <v>104</v>
      </c>
      <c r="C166" s="21">
        <v>89.7</v>
      </c>
      <c r="D166" s="21" t="s">
        <v>145</v>
      </c>
      <c r="E166" s="21">
        <v>704.4</v>
      </c>
      <c r="F166" s="21">
        <v>4.8</v>
      </c>
      <c r="G166" s="21">
        <v>17.8</v>
      </c>
      <c r="H166" s="21" t="s">
        <v>184</v>
      </c>
      <c r="I166" s="21"/>
      <c r="J166" s="21"/>
      <c r="K166" s="18"/>
    </row>
    <row r="167" spans="1:11">
      <c r="A167" s="2" t="s">
        <v>90</v>
      </c>
      <c r="B167" s="20" t="s">
        <v>155</v>
      </c>
      <c r="C167" s="21">
        <v>84.9</v>
      </c>
      <c r="D167" s="21">
        <v>18.2</v>
      </c>
      <c r="E167" s="21" t="s">
        <v>185</v>
      </c>
      <c r="F167" s="21" t="s">
        <v>127</v>
      </c>
      <c r="G167" s="21">
        <v>5.3</v>
      </c>
      <c r="H167" s="21" t="s">
        <v>149</v>
      </c>
      <c r="I167" s="21"/>
      <c r="J167" s="21"/>
      <c r="K167" s="18"/>
    </row>
    <row r="168" spans="1:11">
      <c r="A168" s="2" t="s">
        <v>106</v>
      </c>
      <c r="B168" s="20" t="s">
        <v>124</v>
      </c>
      <c r="C168" s="21">
        <v>92.1</v>
      </c>
      <c r="D168" s="21">
        <v>111.2</v>
      </c>
      <c r="E168" s="21">
        <v>654.1</v>
      </c>
      <c r="F168" s="21">
        <v>9.6</v>
      </c>
      <c r="G168" s="21">
        <v>16.600000000000001</v>
      </c>
      <c r="H168" s="21" t="s">
        <v>128</v>
      </c>
      <c r="I168" s="21"/>
      <c r="J168" s="21"/>
      <c r="K168" s="18"/>
    </row>
    <row r="169" spans="1:11">
      <c r="A169" s="2" t="s">
        <v>106</v>
      </c>
      <c r="B169" s="20" t="s">
        <v>124</v>
      </c>
      <c r="C169" s="21" t="s">
        <v>186</v>
      </c>
      <c r="D169" s="21">
        <v>127.1</v>
      </c>
      <c r="E169" s="21">
        <v>570.5</v>
      </c>
      <c r="F169" s="21">
        <v>16.5</v>
      </c>
      <c r="G169" s="21">
        <v>23.4</v>
      </c>
      <c r="H169" s="21" t="s">
        <v>97</v>
      </c>
      <c r="I169" s="21"/>
      <c r="J169" s="21"/>
      <c r="K169" s="18"/>
    </row>
    <row r="170" spans="1:11">
      <c r="A170" s="2" t="s">
        <v>90</v>
      </c>
      <c r="B170" s="20" t="s">
        <v>91</v>
      </c>
      <c r="C170" s="21">
        <v>91.2</v>
      </c>
      <c r="D170" s="21">
        <v>48.3</v>
      </c>
      <c r="E170" s="21">
        <v>97.8</v>
      </c>
      <c r="F170" s="21">
        <v>12.5</v>
      </c>
      <c r="G170" s="21">
        <v>14.6</v>
      </c>
      <c r="H170" s="21" t="s">
        <v>164</v>
      </c>
      <c r="I170" s="21"/>
      <c r="J170" s="21"/>
      <c r="K170" s="18"/>
    </row>
    <row r="171" spans="1:11">
      <c r="A171" s="2" t="s">
        <v>106</v>
      </c>
      <c r="B171" s="20" t="s">
        <v>155</v>
      </c>
      <c r="C171" s="21">
        <v>95.2</v>
      </c>
      <c r="D171" s="21">
        <v>131.69999999999999</v>
      </c>
      <c r="E171" s="21">
        <v>578.79999999999995</v>
      </c>
      <c r="F171" s="21">
        <v>10.4</v>
      </c>
      <c r="G171" s="21">
        <v>20.7</v>
      </c>
      <c r="H171" s="21" t="s">
        <v>157</v>
      </c>
      <c r="I171" s="21"/>
      <c r="J171" s="21"/>
      <c r="K171" s="18"/>
    </row>
    <row r="172" spans="1:11">
      <c r="A172" s="2" t="s">
        <v>113</v>
      </c>
      <c r="B172" s="20" t="s">
        <v>124</v>
      </c>
      <c r="C172" s="21">
        <v>92.9</v>
      </c>
      <c r="D172" s="21">
        <v>133.30000000000001</v>
      </c>
      <c r="E172" s="21">
        <v>699.6</v>
      </c>
      <c r="F172" s="21">
        <v>9.1999999999999993</v>
      </c>
      <c r="G172" s="21">
        <v>21.9</v>
      </c>
      <c r="H172" s="21" t="s">
        <v>129</v>
      </c>
      <c r="I172" s="21"/>
      <c r="J172" s="21"/>
      <c r="K172" s="18"/>
    </row>
    <row r="173" spans="1:11">
      <c r="A173" s="2" t="s">
        <v>106</v>
      </c>
      <c r="B173" s="20" t="s">
        <v>124</v>
      </c>
      <c r="C173" s="21">
        <v>85.6</v>
      </c>
      <c r="D173" s="21">
        <v>90.4</v>
      </c>
      <c r="E173" s="21">
        <v>609.6</v>
      </c>
      <c r="F173" s="21">
        <v>6.6</v>
      </c>
      <c r="G173" s="21">
        <v>17.399999999999999</v>
      </c>
      <c r="H173" s="21" t="s">
        <v>158</v>
      </c>
      <c r="I173" s="21"/>
      <c r="J173" s="21"/>
      <c r="K173" s="18"/>
    </row>
    <row r="174" spans="1:11">
      <c r="A174" s="2" t="s">
        <v>106</v>
      </c>
      <c r="B174" s="20" t="s">
        <v>104</v>
      </c>
      <c r="C174" s="21">
        <v>91.4</v>
      </c>
      <c r="D174" s="21">
        <v>142.4</v>
      </c>
      <c r="E174" s="21">
        <v>601.4</v>
      </c>
      <c r="F174" s="21">
        <v>10.6</v>
      </c>
      <c r="G174" s="21">
        <v>20.100000000000001</v>
      </c>
      <c r="H174" s="21" t="s">
        <v>141</v>
      </c>
      <c r="I174" s="21"/>
      <c r="J174" s="21"/>
      <c r="K174" s="18"/>
    </row>
    <row r="175" spans="1:11">
      <c r="A175" s="2" t="s">
        <v>113</v>
      </c>
      <c r="B175" s="20" t="s">
        <v>109</v>
      </c>
      <c r="C175" s="21">
        <v>90.9</v>
      </c>
      <c r="D175" s="21">
        <v>126.5</v>
      </c>
      <c r="E175" s="21">
        <v>686.5</v>
      </c>
      <c r="F175" s="21" t="s">
        <v>122</v>
      </c>
      <c r="G175" s="21">
        <v>17.7</v>
      </c>
      <c r="H175" s="21" t="s">
        <v>141</v>
      </c>
      <c r="I175" s="21"/>
      <c r="J175" s="21"/>
      <c r="K175" s="18"/>
    </row>
    <row r="176" spans="1:11">
      <c r="A176" s="2" t="s">
        <v>106</v>
      </c>
      <c r="B176" s="20" t="s">
        <v>99</v>
      </c>
      <c r="C176" s="21">
        <v>90.2</v>
      </c>
      <c r="D176" s="21">
        <v>96.9</v>
      </c>
      <c r="E176" s="21">
        <v>624.20000000000005</v>
      </c>
      <c r="F176" s="21">
        <v>8.9</v>
      </c>
      <c r="G176" s="21">
        <v>14.2</v>
      </c>
      <c r="H176" s="21" t="s">
        <v>181</v>
      </c>
      <c r="I176" s="21"/>
      <c r="J176" s="21"/>
      <c r="K176" s="18"/>
    </row>
    <row r="177" spans="1:11">
      <c r="A177" s="2" t="s">
        <v>106</v>
      </c>
      <c r="B177" s="20" t="s">
        <v>99</v>
      </c>
      <c r="C177" s="21">
        <v>90.2</v>
      </c>
      <c r="D177" s="21">
        <v>96.9</v>
      </c>
      <c r="E177" s="21">
        <v>624.20000000000005</v>
      </c>
      <c r="F177" s="21">
        <v>8.9</v>
      </c>
      <c r="G177" s="21">
        <v>20.3</v>
      </c>
      <c r="H177" s="21" t="s">
        <v>141</v>
      </c>
      <c r="I177" s="21"/>
      <c r="J177" s="21"/>
      <c r="K177" s="18"/>
    </row>
    <row r="178" spans="1:11">
      <c r="A178" s="2" t="s">
        <v>130</v>
      </c>
      <c r="B178" s="20" t="s">
        <v>155</v>
      </c>
      <c r="C178" s="21">
        <v>81.5</v>
      </c>
      <c r="D178" s="21">
        <v>9.1</v>
      </c>
      <c r="E178" s="21">
        <v>55.2</v>
      </c>
      <c r="F178" s="21">
        <v>2.7</v>
      </c>
      <c r="G178" s="21">
        <v>5.8</v>
      </c>
      <c r="H178" s="21" t="s">
        <v>147</v>
      </c>
      <c r="I178" s="21"/>
      <c r="J178" s="21"/>
      <c r="K178" s="18"/>
    </row>
    <row r="179" spans="1:11">
      <c r="A179" s="2" t="s">
        <v>106</v>
      </c>
      <c r="B179" s="20" t="s">
        <v>104</v>
      </c>
      <c r="C179" s="21">
        <v>90.2</v>
      </c>
      <c r="D179" s="21">
        <v>99.6</v>
      </c>
      <c r="E179" s="21">
        <v>631.20000000000005</v>
      </c>
      <c r="F179" s="21">
        <v>6.3</v>
      </c>
      <c r="G179" s="21">
        <v>19.2</v>
      </c>
      <c r="H179" s="21" t="s">
        <v>126</v>
      </c>
      <c r="I179" s="21"/>
      <c r="J179" s="21"/>
      <c r="K179" s="18"/>
    </row>
    <row r="180" spans="1:11">
      <c r="A180" s="2" t="s">
        <v>113</v>
      </c>
      <c r="B180" s="20" t="s">
        <v>124</v>
      </c>
      <c r="C180" s="21">
        <v>90.1</v>
      </c>
      <c r="D180" s="21">
        <v>82.9</v>
      </c>
      <c r="E180" s="21">
        <v>735.7</v>
      </c>
      <c r="F180" s="21">
        <v>6.2</v>
      </c>
      <c r="G180" s="21">
        <v>18.3</v>
      </c>
      <c r="H180" s="21" t="s">
        <v>157</v>
      </c>
      <c r="I180" s="21"/>
      <c r="J180" s="21"/>
      <c r="K180" s="18"/>
    </row>
    <row r="181" spans="1:11">
      <c r="A181" s="2" t="s">
        <v>106</v>
      </c>
      <c r="B181" s="20" t="s">
        <v>95</v>
      </c>
      <c r="C181" s="21">
        <v>88.8</v>
      </c>
      <c r="D181" s="21">
        <v>147.30000000000001</v>
      </c>
      <c r="E181" s="21">
        <v>614.5</v>
      </c>
      <c r="F181" s="21" t="s">
        <v>101</v>
      </c>
      <c r="G181" s="21">
        <v>14.4</v>
      </c>
      <c r="H181" s="21" t="s">
        <v>169</v>
      </c>
      <c r="I181" s="21"/>
      <c r="J181" s="21"/>
      <c r="K181" s="18"/>
    </row>
    <row r="182" spans="1:11">
      <c r="A182" s="2" t="s">
        <v>113</v>
      </c>
      <c r="B182" s="20" t="s">
        <v>104</v>
      </c>
      <c r="C182" s="21">
        <v>92.4</v>
      </c>
      <c r="D182" s="21">
        <v>124.1</v>
      </c>
      <c r="E182" s="21">
        <v>680.7</v>
      </c>
      <c r="F182" s="21">
        <v>8.5</v>
      </c>
      <c r="G182" s="21">
        <v>23.9</v>
      </c>
      <c r="H182" s="21" t="s">
        <v>134</v>
      </c>
      <c r="I182" s="21"/>
      <c r="J182" s="21"/>
      <c r="K182" s="18"/>
    </row>
    <row r="183" spans="1:11">
      <c r="A183" s="2" t="s">
        <v>94</v>
      </c>
      <c r="B183" s="20" t="s">
        <v>109</v>
      </c>
      <c r="C183" s="21">
        <v>84.9</v>
      </c>
      <c r="D183" s="21">
        <v>32.799999999999997</v>
      </c>
      <c r="E183" s="21">
        <v>664.2</v>
      </c>
      <c r="F183" s="21" t="s">
        <v>127</v>
      </c>
      <c r="G183" s="21">
        <v>19.100000000000001</v>
      </c>
      <c r="H183" s="21" t="s">
        <v>134</v>
      </c>
      <c r="I183" s="21"/>
      <c r="J183" s="21"/>
      <c r="K183" s="18"/>
    </row>
    <row r="184" spans="1:11">
      <c r="A184" s="2" t="s">
        <v>159</v>
      </c>
      <c r="B184" s="20" t="s">
        <v>104</v>
      </c>
      <c r="C184" s="21">
        <v>86.8</v>
      </c>
      <c r="D184" s="21">
        <v>15.6</v>
      </c>
      <c r="E184" s="21">
        <v>48.3</v>
      </c>
      <c r="F184" s="21">
        <v>3.9</v>
      </c>
      <c r="G184" s="21">
        <v>12.4</v>
      </c>
      <c r="H184" s="21" t="s">
        <v>181</v>
      </c>
      <c r="I184" s="21"/>
      <c r="J184" s="21"/>
      <c r="K184" s="18"/>
    </row>
    <row r="185" spans="1:11">
      <c r="A185" s="2" t="s">
        <v>94</v>
      </c>
      <c r="B185" s="20" t="s">
        <v>109</v>
      </c>
      <c r="C185" s="21">
        <v>91.7</v>
      </c>
      <c r="D185" s="21">
        <v>48.5</v>
      </c>
      <c r="E185" s="21">
        <v>696.1</v>
      </c>
      <c r="F185" s="21">
        <v>11.1</v>
      </c>
      <c r="G185" s="21">
        <v>16.8</v>
      </c>
      <c r="H185" s="21" t="s">
        <v>157</v>
      </c>
      <c r="I185" s="21"/>
      <c r="J185" s="21"/>
      <c r="K185" s="18"/>
    </row>
    <row r="186" spans="1:11">
      <c r="A186" s="2" t="s">
        <v>106</v>
      </c>
      <c r="B186" s="20" t="s">
        <v>91</v>
      </c>
      <c r="C186" s="21">
        <v>93.9</v>
      </c>
      <c r="D186" s="21">
        <v>135.69999999999999</v>
      </c>
      <c r="E186" s="21">
        <v>586.70000000000005</v>
      </c>
      <c r="F186" s="21">
        <v>15.1</v>
      </c>
      <c r="G186" s="21">
        <v>20.8</v>
      </c>
      <c r="H186" s="21" t="s">
        <v>138</v>
      </c>
      <c r="I186" s="21"/>
      <c r="J186" s="21"/>
      <c r="K186" s="18"/>
    </row>
    <row r="187" spans="1:11">
      <c r="A187" s="2" t="s">
        <v>113</v>
      </c>
      <c r="B187" s="20" t="s">
        <v>95</v>
      </c>
      <c r="C187" s="21" t="s">
        <v>114</v>
      </c>
      <c r="D187" s="21">
        <v>129.5</v>
      </c>
      <c r="E187" s="21">
        <v>692.6</v>
      </c>
      <c r="F187" s="21" t="s">
        <v>122</v>
      </c>
      <c r="G187" s="21">
        <v>17.600000000000001</v>
      </c>
      <c r="H187" s="21" t="s">
        <v>154</v>
      </c>
      <c r="I187" s="21"/>
      <c r="J187" s="21"/>
      <c r="K187" s="18"/>
    </row>
    <row r="188" spans="1:11">
      <c r="A188" s="2" t="s">
        <v>90</v>
      </c>
      <c r="B188" s="20" t="s">
        <v>104</v>
      </c>
      <c r="C188" s="21">
        <v>89.3</v>
      </c>
      <c r="D188" s="21">
        <v>51.3</v>
      </c>
      <c r="E188" s="21">
        <v>102.2</v>
      </c>
      <c r="F188" s="21">
        <v>9.6</v>
      </c>
      <c r="G188" s="21">
        <v>11.5</v>
      </c>
      <c r="H188" s="21" t="s">
        <v>141</v>
      </c>
      <c r="I188" s="21"/>
      <c r="J188" s="21"/>
      <c r="K188" s="18"/>
    </row>
    <row r="189" spans="1:11">
      <c r="A189" s="2" t="s">
        <v>113</v>
      </c>
      <c r="B189" s="20" t="s">
        <v>109</v>
      </c>
      <c r="C189" s="21">
        <v>90.9</v>
      </c>
      <c r="D189" s="21">
        <v>126.5</v>
      </c>
      <c r="E189" s="21">
        <v>686.5</v>
      </c>
      <c r="F189" s="21" t="s">
        <v>122</v>
      </c>
      <c r="G189" s="21" t="s">
        <v>125</v>
      </c>
      <c r="H189" s="21" t="s">
        <v>123</v>
      </c>
      <c r="I189" s="21"/>
      <c r="J189" s="21"/>
      <c r="K189" s="18"/>
    </row>
    <row r="190" spans="1:11">
      <c r="A190" s="2" t="s">
        <v>90</v>
      </c>
      <c r="B190" s="20" t="s">
        <v>99</v>
      </c>
      <c r="C190" s="21">
        <v>90.8</v>
      </c>
      <c r="D190" s="21">
        <v>41.9</v>
      </c>
      <c r="E190" s="21">
        <v>89.4</v>
      </c>
      <c r="F190" s="21">
        <v>7.9</v>
      </c>
      <c r="G190" s="21">
        <v>13.3</v>
      </c>
      <c r="H190" s="21" t="s">
        <v>123</v>
      </c>
      <c r="I190" s="21"/>
      <c r="J190" s="21"/>
      <c r="K190" s="18"/>
    </row>
    <row r="191" spans="1:11">
      <c r="A191" s="2" t="s">
        <v>90</v>
      </c>
      <c r="B191" s="20" t="s">
        <v>104</v>
      </c>
      <c r="C191" s="21">
        <v>90.7</v>
      </c>
      <c r="D191" s="21" t="s">
        <v>126</v>
      </c>
      <c r="E191" s="21">
        <v>92.4</v>
      </c>
      <c r="F191" s="21">
        <v>5.5</v>
      </c>
      <c r="G191" s="21">
        <v>11.5</v>
      </c>
      <c r="H191" s="21" t="s">
        <v>135</v>
      </c>
      <c r="I191" s="21"/>
      <c r="J191" s="21"/>
      <c r="K191" s="18"/>
    </row>
    <row r="192" spans="1:11">
      <c r="A192" s="2" t="s">
        <v>90</v>
      </c>
      <c r="B192" s="20" t="s">
        <v>91</v>
      </c>
      <c r="C192" s="21">
        <v>91.2</v>
      </c>
      <c r="D192" s="21">
        <v>48.3</v>
      </c>
      <c r="E192" s="21">
        <v>97.8</v>
      </c>
      <c r="F192" s="21">
        <v>12.5</v>
      </c>
      <c r="G192" s="21">
        <v>11.7</v>
      </c>
      <c r="H192" s="21" t="s">
        <v>97</v>
      </c>
      <c r="I192" s="21"/>
      <c r="J192" s="21"/>
      <c r="K192" s="18"/>
    </row>
    <row r="193" spans="1:11">
      <c r="A193" s="2" t="s">
        <v>106</v>
      </c>
      <c r="B193" s="20" t="s">
        <v>155</v>
      </c>
      <c r="C193" s="21">
        <v>95.2</v>
      </c>
      <c r="D193" s="21">
        <v>131.69999999999999</v>
      </c>
      <c r="E193" s="21">
        <v>578.79999999999995</v>
      </c>
      <c r="F193" s="21">
        <v>10.4</v>
      </c>
      <c r="G193" s="21">
        <v>24.2</v>
      </c>
      <c r="H193" s="21" t="s">
        <v>182</v>
      </c>
      <c r="I193" s="21"/>
      <c r="J193" s="21"/>
      <c r="K193" s="18"/>
    </row>
    <row r="194" spans="1:11">
      <c r="A194" s="2" t="s">
        <v>106</v>
      </c>
      <c r="B194" s="20" t="s">
        <v>95</v>
      </c>
      <c r="C194" s="21">
        <v>94.8</v>
      </c>
      <c r="D194" s="21">
        <v>108.3</v>
      </c>
      <c r="E194" s="21">
        <v>647.1</v>
      </c>
      <c r="F194" s="21" t="s">
        <v>120</v>
      </c>
      <c r="G194" s="21">
        <v>24.6</v>
      </c>
      <c r="H194" s="21" t="s">
        <v>171</v>
      </c>
      <c r="I194" s="21"/>
      <c r="J194" s="21"/>
      <c r="K194" s="18"/>
    </row>
    <row r="195" spans="1:11">
      <c r="A195" s="2" t="s">
        <v>113</v>
      </c>
      <c r="B195" s="20" t="s">
        <v>124</v>
      </c>
      <c r="C195" s="21">
        <v>92.9</v>
      </c>
      <c r="D195" s="21">
        <v>133.30000000000001</v>
      </c>
      <c r="E195" s="21">
        <v>699.6</v>
      </c>
      <c r="F195" s="21">
        <v>9.1999999999999993</v>
      </c>
      <c r="G195" s="21">
        <v>24.3</v>
      </c>
      <c r="H195" s="21" t="s">
        <v>165</v>
      </c>
      <c r="I195" s="21"/>
      <c r="J195" s="21"/>
      <c r="K195" s="18"/>
    </row>
    <row r="196" spans="1:11">
      <c r="A196" s="2" t="s">
        <v>106</v>
      </c>
      <c r="B196" s="20" t="s">
        <v>95</v>
      </c>
      <c r="C196" s="21">
        <v>94.8</v>
      </c>
      <c r="D196" s="21">
        <v>108.3</v>
      </c>
      <c r="E196" s="21">
        <v>647.1</v>
      </c>
      <c r="F196" s="21" t="s">
        <v>120</v>
      </c>
      <c r="G196" s="21">
        <v>24.6</v>
      </c>
      <c r="H196" s="21" t="s">
        <v>171</v>
      </c>
      <c r="I196" s="21"/>
      <c r="J196" s="21"/>
      <c r="K196" s="18"/>
    </row>
    <row r="197" spans="1:11">
      <c r="A197" s="2" t="s">
        <v>106</v>
      </c>
      <c r="B197" s="20" t="s">
        <v>91</v>
      </c>
      <c r="C197" s="21">
        <v>93.9</v>
      </c>
      <c r="D197" s="21">
        <v>135.69999999999999</v>
      </c>
      <c r="E197" s="21">
        <v>586.70000000000005</v>
      </c>
      <c r="F197" s="21">
        <v>15.1</v>
      </c>
      <c r="G197" s="21">
        <v>23.5</v>
      </c>
      <c r="H197" s="21" t="s">
        <v>152</v>
      </c>
      <c r="I197" s="21"/>
      <c r="J197" s="21"/>
      <c r="K197" s="18"/>
    </row>
    <row r="198" spans="1:11">
      <c r="A198" s="2" t="s">
        <v>130</v>
      </c>
      <c r="B198" s="20" t="s">
        <v>155</v>
      </c>
      <c r="C198" s="21">
        <v>81.5</v>
      </c>
      <c r="D198" s="21">
        <v>9.1</v>
      </c>
      <c r="E198" s="21">
        <v>55.2</v>
      </c>
      <c r="F198" s="21">
        <v>2.7</v>
      </c>
      <c r="G198" s="21">
        <v>5.8</v>
      </c>
      <c r="H198" s="21" t="s">
        <v>147</v>
      </c>
      <c r="I198" s="21"/>
      <c r="J198" s="21"/>
      <c r="K198" s="18"/>
    </row>
    <row r="199" spans="1:11">
      <c r="A199" s="2" t="s">
        <v>113</v>
      </c>
      <c r="B199" s="20" t="s">
        <v>155</v>
      </c>
      <c r="C199" s="21">
        <v>92.9</v>
      </c>
      <c r="D199" s="21" t="s">
        <v>156</v>
      </c>
      <c r="E199" s="21">
        <v>706.4</v>
      </c>
      <c r="F199" s="21">
        <v>9.1999999999999993</v>
      </c>
      <c r="G199" s="21">
        <v>21.5</v>
      </c>
      <c r="H199" s="21" t="s">
        <v>170</v>
      </c>
      <c r="I199" s="21"/>
      <c r="J199" s="21"/>
      <c r="K199" s="18"/>
    </row>
    <row r="200" spans="1:11">
      <c r="A200" s="2" t="s">
        <v>113</v>
      </c>
      <c r="B200" s="20" t="s">
        <v>95</v>
      </c>
      <c r="C200" s="21" t="s">
        <v>114</v>
      </c>
      <c r="D200" s="21">
        <v>129.5</v>
      </c>
      <c r="E200" s="21">
        <v>692.6</v>
      </c>
      <c r="F200" s="21" t="s">
        <v>122</v>
      </c>
      <c r="G200" s="21">
        <v>13.9</v>
      </c>
      <c r="H200" s="21" t="s">
        <v>161</v>
      </c>
      <c r="I200" s="21"/>
      <c r="J200" s="21"/>
      <c r="K200" s="18"/>
    </row>
    <row r="201" spans="1:11">
      <c r="A201" s="2" t="s">
        <v>113</v>
      </c>
      <c r="B201" s="20" t="s">
        <v>109</v>
      </c>
      <c r="C201" s="21">
        <v>63.5</v>
      </c>
      <c r="D201" s="21">
        <v>70.8</v>
      </c>
      <c r="E201" s="21">
        <v>665.3</v>
      </c>
      <c r="F201" s="21">
        <v>0.8</v>
      </c>
      <c r="G201" s="21">
        <v>22.6</v>
      </c>
      <c r="H201" s="21" t="s">
        <v>119</v>
      </c>
      <c r="I201" s="21"/>
      <c r="J201" s="21"/>
      <c r="K201" s="18"/>
    </row>
    <row r="202" spans="1:11">
      <c r="A202" s="2" t="s">
        <v>113</v>
      </c>
      <c r="B202" s="20" t="s">
        <v>95</v>
      </c>
      <c r="C202" s="21" t="s">
        <v>114</v>
      </c>
      <c r="D202" s="21">
        <v>129.5</v>
      </c>
      <c r="E202" s="21">
        <v>692.6</v>
      </c>
      <c r="F202" s="21" t="s">
        <v>122</v>
      </c>
      <c r="G202" s="21">
        <v>21.6</v>
      </c>
      <c r="H202" s="21" t="s">
        <v>97</v>
      </c>
      <c r="I202" s="21"/>
      <c r="J202" s="21"/>
      <c r="K202" s="18"/>
    </row>
    <row r="203" spans="1:11">
      <c r="A203" s="2" t="s">
        <v>90</v>
      </c>
      <c r="B203" s="20" t="s">
        <v>104</v>
      </c>
      <c r="C203" s="21">
        <v>90.1</v>
      </c>
      <c r="D203" s="21">
        <v>37.6</v>
      </c>
      <c r="E203" s="21">
        <v>83.7</v>
      </c>
      <c r="F203" s="21">
        <v>7.2</v>
      </c>
      <c r="G203" s="21">
        <v>12.4</v>
      </c>
      <c r="H203" s="21" t="s">
        <v>147</v>
      </c>
      <c r="I203" s="21"/>
      <c r="J203" s="21"/>
      <c r="K203" s="18"/>
    </row>
    <row r="204" spans="1:11">
      <c r="A204" s="2" t="s">
        <v>159</v>
      </c>
      <c r="B204" s="20" t="s">
        <v>104</v>
      </c>
      <c r="C204" s="21">
        <v>83.9</v>
      </c>
      <c r="D204" s="21">
        <v>8.6999999999999993</v>
      </c>
      <c r="E204" s="21">
        <v>32.1</v>
      </c>
      <c r="F204" s="21">
        <v>2.1</v>
      </c>
      <c r="G204" s="21">
        <v>8.8000000000000007</v>
      </c>
      <c r="H204" s="21" t="s">
        <v>187</v>
      </c>
      <c r="I204" s="21"/>
      <c r="J204" s="21"/>
      <c r="K204" s="18"/>
    </row>
    <row r="205" spans="1:11">
      <c r="A205" s="2" t="s">
        <v>94</v>
      </c>
      <c r="B205" s="20" t="s">
        <v>124</v>
      </c>
      <c r="C205" s="21">
        <v>91.4</v>
      </c>
      <c r="D205" s="21">
        <v>37.9</v>
      </c>
      <c r="E205" s="21">
        <v>673.8</v>
      </c>
      <c r="F205" s="21">
        <v>5.2</v>
      </c>
      <c r="G205" s="21">
        <v>20.2</v>
      </c>
      <c r="H205" s="21" t="s">
        <v>143</v>
      </c>
      <c r="I205" s="21"/>
      <c r="J205" s="21"/>
      <c r="K205" s="18"/>
    </row>
    <row r="206" spans="1:11">
      <c r="A206" s="2" t="s">
        <v>90</v>
      </c>
      <c r="B206" s="20" t="s">
        <v>99</v>
      </c>
      <c r="C206" s="21">
        <v>90.6</v>
      </c>
      <c r="D206" s="21">
        <v>50.1</v>
      </c>
      <c r="E206" s="21">
        <v>100.4</v>
      </c>
      <c r="F206" s="21">
        <v>7.8</v>
      </c>
      <c r="G206" s="21">
        <v>15.1</v>
      </c>
      <c r="H206" s="21" t="s">
        <v>172</v>
      </c>
      <c r="I206" s="21"/>
      <c r="J206" s="21"/>
      <c r="K206" s="18"/>
    </row>
    <row r="207" spans="1:11">
      <c r="A207" s="2" t="s">
        <v>113</v>
      </c>
      <c r="B207" s="20" t="s">
        <v>155</v>
      </c>
      <c r="C207" s="21">
        <v>92.9</v>
      </c>
      <c r="D207" s="21" t="s">
        <v>156</v>
      </c>
      <c r="E207" s="21">
        <v>706.4</v>
      </c>
      <c r="F207" s="21">
        <v>9.1999999999999993</v>
      </c>
      <c r="G207" s="21">
        <v>22.1</v>
      </c>
      <c r="H207" s="21" t="s">
        <v>138</v>
      </c>
      <c r="I207" s="21"/>
      <c r="J207" s="21"/>
      <c r="K207" s="18"/>
    </row>
    <row r="208" spans="1:11">
      <c r="A208" s="2" t="s">
        <v>106</v>
      </c>
      <c r="B208" s="20" t="s">
        <v>99</v>
      </c>
      <c r="C208" s="21">
        <v>93.5</v>
      </c>
      <c r="D208" s="21">
        <v>139.4</v>
      </c>
      <c r="E208" s="21">
        <v>594.20000000000005</v>
      </c>
      <c r="F208" s="21">
        <v>20.3</v>
      </c>
      <c r="G208" s="21">
        <v>22.9</v>
      </c>
      <c r="H208" s="21" t="s">
        <v>163</v>
      </c>
      <c r="I208" s="21"/>
      <c r="J208" s="21"/>
      <c r="K208" s="18"/>
    </row>
    <row r="209" spans="1:11">
      <c r="A209" s="2" t="s">
        <v>113</v>
      </c>
      <c r="B209" s="20" t="s">
        <v>95</v>
      </c>
      <c r="C209" s="21" t="s">
        <v>114</v>
      </c>
      <c r="D209" s="21">
        <v>129.5</v>
      </c>
      <c r="E209" s="21">
        <v>692.6</v>
      </c>
      <c r="F209" s="21" t="s">
        <v>122</v>
      </c>
      <c r="G209" s="21">
        <v>20.7</v>
      </c>
      <c r="H209" s="21" t="s">
        <v>143</v>
      </c>
      <c r="I209" s="21"/>
      <c r="J209" s="21"/>
      <c r="K209" s="18"/>
    </row>
    <row r="210" spans="1:11">
      <c r="A210" s="2" t="s">
        <v>113</v>
      </c>
      <c r="B210" s="20" t="s">
        <v>91</v>
      </c>
      <c r="C210" s="21">
        <v>92.4</v>
      </c>
      <c r="D210" s="21">
        <v>117.9</v>
      </c>
      <c r="E210" s="21" t="s">
        <v>136</v>
      </c>
      <c r="F210" s="21">
        <v>12.2</v>
      </c>
      <c r="G210" s="21">
        <v>19.600000000000001</v>
      </c>
      <c r="H210" s="21" t="s">
        <v>97</v>
      </c>
      <c r="I210" s="21"/>
      <c r="J210" s="21"/>
      <c r="K210" s="18"/>
    </row>
    <row r="211" spans="1:11">
      <c r="A211" s="2" t="s">
        <v>113</v>
      </c>
      <c r="B211" s="20" t="s">
        <v>155</v>
      </c>
      <c r="C211" s="21">
        <v>93.7</v>
      </c>
      <c r="D211" s="21">
        <v>80.900000000000006</v>
      </c>
      <c r="E211" s="21">
        <v>685.2</v>
      </c>
      <c r="F211" s="21">
        <v>17.899999999999999</v>
      </c>
      <c r="G211" s="21">
        <v>23.2</v>
      </c>
      <c r="H211" s="21" t="s">
        <v>164</v>
      </c>
      <c r="I211" s="21"/>
      <c r="J211" s="21"/>
      <c r="K211" s="18"/>
    </row>
    <row r="212" spans="1:11">
      <c r="A212" s="2" t="s">
        <v>94</v>
      </c>
      <c r="B212" s="20" t="s">
        <v>99</v>
      </c>
      <c r="C212" s="21">
        <v>90.6</v>
      </c>
      <c r="D212" s="21">
        <v>43.7</v>
      </c>
      <c r="E212" s="21">
        <v>686.9</v>
      </c>
      <c r="F212" s="21">
        <v>6.7</v>
      </c>
      <c r="G212" s="21">
        <v>18.399999999999999</v>
      </c>
      <c r="H212" s="21" t="s">
        <v>165</v>
      </c>
      <c r="I212" s="21"/>
      <c r="J212" s="21"/>
      <c r="K212" s="18"/>
    </row>
    <row r="213" spans="1:11">
      <c r="A213" s="2" t="s">
        <v>106</v>
      </c>
      <c r="B213" s="20" t="s">
        <v>99</v>
      </c>
      <c r="C213" s="21">
        <v>93.5</v>
      </c>
      <c r="D213" s="21">
        <v>139.4</v>
      </c>
      <c r="E213" s="21">
        <v>594.20000000000005</v>
      </c>
      <c r="F213" s="21">
        <v>20.3</v>
      </c>
      <c r="G213" s="21">
        <v>5.0999999999999996</v>
      </c>
      <c r="H213" s="21" t="s">
        <v>186</v>
      </c>
      <c r="I213" s="21"/>
      <c r="J213" s="21"/>
      <c r="K213" s="18"/>
    </row>
    <row r="214" spans="1:11">
      <c r="A214" s="2" t="s">
        <v>113</v>
      </c>
      <c r="B214" s="20" t="s">
        <v>91</v>
      </c>
      <c r="C214" s="21">
        <v>94.3</v>
      </c>
      <c r="D214" s="21">
        <v>85.1</v>
      </c>
      <c r="E214" s="21">
        <v>692.3</v>
      </c>
      <c r="F214" s="21">
        <v>15.9</v>
      </c>
      <c r="G214" s="21">
        <v>20.100000000000001</v>
      </c>
      <c r="H214" s="21" t="s">
        <v>128</v>
      </c>
      <c r="I214" s="21"/>
      <c r="J214" s="21"/>
      <c r="K214" s="18"/>
    </row>
    <row r="215" spans="1:11">
      <c r="A215" s="2" t="s">
        <v>90</v>
      </c>
      <c r="B215" s="20" t="s">
        <v>109</v>
      </c>
      <c r="C215" s="21">
        <v>87.6</v>
      </c>
      <c r="D215" s="21">
        <v>52.2</v>
      </c>
      <c r="E215" s="21">
        <v>103.8</v>
      </c>
      <c r="F215" s="21" t="s">
        <v>153</v>
      </c>
      <c r="G215" s="21" t="s">
        <v>150</v>
      </c>
      <c r="H215" s="21" t="s">
        <v>154</v>
      </c>
      <c r="I215" s="21"/>
      <c r="J215" s="21"/>
      <c r="K215" s="18"/>
    </row>
    <row r="216" spans="1:11">
      <c r="A216" s="2" t="s">
        <v>90</v>
      </c>
      <c r="B216" s="20" t="s">
        <v>99</v>
      </c>
      <c r="C216" s="21">
        <v>91.7</v>
      </c>
      <c r="D216" s="21">
        <v>35.799999999999997</v>
      </c>
      <c r="E216" s="21">
        <v>80.8</v>
      </c>
      <c r="F216" s="21">
        <v>7.8</v>
      </c>
      <c r="G216" s="21" t="s">
        <v>120</v>
      </c>
      <c r="H216" s="21" t="s">
        <v>110</v>
      </c>
      <c r="I216" s="21"/>
      <c r="J216" s="21"/>
      <c r="K216" s="18"/>
    </row>
    <row r="217" spans="1:11">
      <c r="A217" s="2" t="s">
        <v>90</v>
      </c>
      <c r="B217" s="20" t="s">
        <v>99</v>
      </c>
      <c r="C217" s="21">
        <v>91.7</v>
      </c>
      <c r="D217" s="21">
        <v>35.799999999999997</v>
      </c>
      <c r="E217" s="21">
        <v>80.8</v>
      </c>
      <c r="F217" s="21">
        <v>7.8</v>
      </c>
      <c r="G217" s="21" t="s">
        <v>120</v>
      </c>
      <c r="H217" s="21" t="s">
        <v>110</v>
      </c>
      <c r="I217" s="21"/>
      <c r="J217" s="21"/>
      <c r="K217" s="18"/>
    </row>
    <row r="218" spans="1:11">
      <c r="A218" s="2" t="s">
        <v>113</v>
      </c>
      <c r="B218" s="20" t="s">
        <v>104</v>
      </c>
      <c r="C218" s="21">
        <v>92.4</v>
      </c>
      <c r="D218" s="21">
        <v>124.1</v>
      </c>
      <c r="E218" s="21">
        <v>680.7</v>
      </c>
      <c r="F218" s="21">
        <v>8.5</v>
      </c>
      <c r="G218" s="21">
        <v>16.899999999999999</v>
      </c>
      <c r="H218" s="21" t="s">
        <v>135</v>
      </c>
      <c r="I218" s="21"/>
      <c r="J218" s="21"/>
      <c r="K218" s="18"/>
    </row>
    <row r="219" spans="1:11">
      <c r="A219" s="2" t="s">
        <v>113</v>
      </c>
      <c r="B219" s="20" t="s">
        <v>109</v>
      </c>
      <c r="C219" s="21">
        <v>88.6</v>
      </c>
      <c r="D219" s="21">
        <v>91.8</v>
      </c>
      <c r="E219" s="21">
        <v>709.9</v>
      </c>
      <c r="F219" s="21">
        <v>7.1</v>
      </c>
      <c r="G219" s="21">
        <v>12.4</v>
      </c>
      <c r="H219" s="21" t="s">
        <v>188</v>
      </c>
      <c r="I219" s="21"/>
      <c r="J219" s="21"/>
      <c r="K219" s="18"/>
    </row>
    <row r="220" spans="1:11">
      <c r="A220" s="2" t="s">
        <v>113</v>
      </c>
      <c r="B220" s="20" t="s">
        <v>124</v>
      </c>
      <c r="C220" s="21">
        <v>92.9</v>
      </c>
      <c r="D220" s="21">
        <v>133.30000000000001</v>
      </c>
      <c r="E220" s="21">
        <v>699.6</v>
      </c>
      <c r="F220" s="21">
        <v>9.1999999999999993</v>
      </c>
      <c r="G220" s="21">
        <v>19.399999999999999</v>
      </c>
      <c r="H220" s="21" t="s">
        <v>137</v>
      </c>
      <c r="I220" s="21"/>
      <c r="J220" s="21"/>
      <c r="K220" s="18"/>
    </row>
    <row r="221" spans="1:11">
      <c r="A221" s="2" t="s">
        <v>90</v>
      </c>
      <c r="B221" s="20" t="s">
        <v>109</v>
      </c>
      <c r="C221" s="21">
        <v>90.1</v>
      </c>
      <c r="D221" s="21">
        <v>39.700000000000003</v>
      </c>
      <c r="E221" s="21">
        <v>86.6</v>
      </c>
      <c r="F221" s="21">
        <v>6.2</v>
      </c>
      <c r="G221" s="21">
        <v>15.2</v>
      </c>
      <c r="H221" s="21" t="s">
        <v>110</v>
      </c>
      <c r="I221" s="21"/>
      <c r="J221" s="21"/>
      <c r="K221" s="18"/>
    </row>
    <row r="222" spans="1:11">
      <c r="A222" s="2" t="s">
        <v>106</v>
      </c>
      <c r="B222" s="20" t="s">
        <v>104</v>
      </c>
      <c r="C222" s="21">
        <v>90.2</v>
      </c>
      <c r="D222" s="21">
        <v>99.6</v>
      </c>
      <c r="E222" s="21">
        <v>631.20000000000005</v>
      </c>
      <c r="F222" s="21">
        <v>6.3</v>
      </c>
      <c r="G222" s="21">
        <v>16.2</v>
      </c>
      <c r="H222" s="21" t="s">
        <v>161</v>
      </c>
      <c r="I222" s="21"/>
      <c r="J222" s="21"/>
      <c r="K222" s="18"/>
    </row>
    <row r="223" spans="1:11">
      <c r="A223" s="2" t="s">
        <v>113</v>
      </c>
      <c r="B223" s="20" t="s">
        <v>91</v>
      </c>
      <c r="C223" s="21">
        <v>93.3</v>
      </c>
      <c r="D223" s="21">
        <v>141.19999999999999</v>
      </c>
      <c r="E223" s="21">
        <v>713.9</v>
      </c>
      <c r="F223" s="21">
        <v>13.9</v>
      </c>
      <c r="G223" s="21">
        <v>18.600000000000001</v>
      </c>
      <c r="H223" s="21" t="s">
        <v>178</v>
      </c>
      <c r="I223" s="21"/>
      <c r="J223" s="21"/>
      <c r="K223" s="18"/>
    </row>
    <row r="224" spans="1:11">
      <c r="A224" s="2" t="s">
        <v>90</v>
      </c>
      <c r="B224" s="20" t="s">
        <v>109</v>
      </c>
      <c r="C224" s="21">
        <v>87.6</v>
      </c>
      <c r="D224" s="21">
        <v>52.2</v>
      </c>
      <c r="E224" s="21">
        <v>103.8</v>
      </c>
      <c r="F224" s="21" t="s">
        <v>153</v>
      </c>
      <c r="G224" s="21" t="s">
        <v>150</v>
      </c>
      <c r="H224" s="21" t="s">
        <v>154</v>
      </c>
      <c r="I224" s="21"/>
      <c r="J224" s="21"/>
      <c r="K224" s="18"/>
    </row>
    <row r="225" spans="1:11">
      <c r="A225" s="2" t="s">
        <v>146</v>
      </c>
      <c r="B225" s="20" t="s">
        <v>91</v>
      </c>
      <c r="C225" s="21">
        <v>88.3</v>
      </c>
      <c r="D225" s="21">
        <v>150.30000000000001</v>
      </c>
      <c r="E225" s="21">
        <v>309.89999999999998</v>
      </c>
      <c r="F225" s="21">
        <v>6.8</v>
      </c>
      <c r="G225" s="21">
        <v>13.4</v>
      </c>
      <c r="H225" s="21" t="s">
        <v>167</v>
      </c>
      <c r="I225" s="21"/>
      <c r="J225" s="21"/>
      <c r="K225" s="18"/>
    </row>
    <row r="226" spans="1:11">
      <c r="A226" s="2" t="s">
        <v>113</v>
      </c>
      <c r="B226" s="20" t="s">
        <v>124</v>
      </c>
      <c r="C226" s="21">
        <v>90.1</v>
      </c>
      <c r="D226" s="21">
        <v>82.9</v>
      </c>
      <c r="E226" s="21">
        <v>735.7</v>
      </c>
      <c r="F226" s="21">
        <v>6.2</v>
      </c>
      <c r="G226" s="21">
        <v>15.4</v>
      </c>
      <c r="H226" s="21" t="s">
        <v>189</v>
      </c>
      <c r="I226" s="21"/>
      <c r="J226" s="21"/>
      <c r="K226" s="18"/>
    </row>
    <row r="227" spans="1:11">
      <c r="A227" s="2" t="s">
        <v>113</v>
      </c>
      <c r="B227" s="20" t="s">
        <v>104</v>
      </c>
      <c r="C227" s="21">
        <v>93.5</v>
      </c>
      <c r="D227" s="21">
        <v>149.30000000000001</v>
      </c>
      <c r="E227" s="21">
        <v>728.6</v>
      </c>
      <c r="F227" s="21">
        <v>8.1</v>
      </c>
      <c r="G227" s="21">
        <v>22.9</v>
      </c>
      <c r="H227" s="21" t="s">
        <v>141</v>
      </c>
      <c r="I227" s="21"/>
      <c r="J227" s="21"/>
      <c r="K227" s="18"/>
    </row>
    <row r="228" spans="1:11">
      <c r="A228" s="2" t="s">
        <v>94</v>
      </c>
      <c r="B228" s="20" t="s">
        <v>109</v>
      </c>
      <c r="C228" s="21">
        <v>91.7</v>
      </c>
      <c r="D228" s="21">
        <v>48.5</v>
      </c>
      <c r="E228" s="21">
        <v>696.1</v>
      </c>
      <c r="F228" s="21">
        <v>11.1</v>
      </c>
      <c r="G228" s="21">
        <v>16.100000000000001</v>
      </c>
      <c r="H228" s="21" t="s">
        <v>126</v>
      </c>
      <c r="I228" s="21"/>
      <c r="J228" s="21"/>
      <c r="K228" s="18"/>
    </row>
    <row r="229" spans="1:11">
      <c r="A229" s="2" t="s">
        <v>106</v>
      </c>
      <c r="B229" s="20" t="s">
        <v>99</v>
      </c>
      <c r="C229" s="21">
        <v>92.2</v>
      </c>
      <c r="D229" s="21">
        <v>81.8</v>
      </c>
      <c r="E229" s="21">
        <v>480.8</v>
      </c>
      <c r="F229" s="21">
        <v>11.9</v>
      </c>
      <c r="G229" s="21">
        <v>20.100000000000001</v>
      </c>
      <c r="H229" s="21" t="s">
        <v>138</v>
      </c>
      <c r="I229" s="21"/>
      <c r="J229" s="21"/>
      <c r="K229" s="18"/>
    </row>
    <row r="230" spans="1:11">
      <c r="A230" s="2" t="s">
        <v>113</v>
      </c>
      <c r="B230" s="20" t="s">
        <v>104</v>
      </c>
      <c r="C230" s="21">
        <v>93.5</v>
      </c>
      <c r="D230" s="21">
        <v>149.30000000000001</v>
      </c>
      <c r="E230" s="21">
        <v>728.6</v>
      </c>
      <c r="F230" s="21">
        <v>8.1</v>
      </c>
      <c r="G230" s="21">
        <v>28.3</v>
      </c>
      <c r="H230" s="21" t="s">
        <v>164</v>
      </c>
      <c r="I230" s="21"/>
      <c r="J230" s="21"/>
      <c r="K230" s="18"/>
    </row>
    <row r="231" spans="1:11">
      <c r="A231" s="2" t="s">
        <v>106</v>
      </c>
      <c r="B231" s="20" t="s">
        <v>99</v>
      </c>
      <c r="C231" s="21">
        <v>92.2</v>
      </c>
      <c r="D231" s="21">
        <v>81.8</v>
      </c>
      <c r="E231" s="21">
        <v>480.8</v>
      </c>
      <c r="F231" s="21">
        <v>11.9</v>
      </c>
      <c r="G231" s="21">
        <v>16.399999999999999</v>
      </c>
      <c r="H231" s="21" t="s">
        <v>133</v>
      </c>
      <c r="I231" s="21"/>
      <c r="J231" s="21"/>
      <c r="K231" s="18"/>
    </row>
    <row r="232" spans="1:11">
      <c r="A232" s="2" t="s">
        <v>113</v>
      </c>
      <c r="B232" s="20" t="s">
        <v>124</v>
      </c>
      <c r="C232" s="21">
        <v>92.9</v>
      </c>
      <c r="D232" s="21">
        <v>133.30000000000001</v>
      </c>
      <c r="E232" s="21">
        <v>699.6</v>
      </c>
      <c r="F232" s="21">
        <v>9.1999999999999993</v>
      </c>
      <c r="G232" s="21">
        <v>26.4</v>
      </c>
      <c r="H232" s="21" t="s">
        <v>125</v>
      </c>
      <c r="I232" s="21"/>
      <c r="J232" s="21"/>
      <c r="K232" s="18"/>
    </row>
    <row r="233" spans="1:11">
      <c r="A233" s="2" t="s">
        <v>113</v>
      </c>
      <c r="B233" s="20" t="s">
        <v>104</v>
      </c>
      <c r="C233" s="21">
        <v>93.5</v>
      </c>
      <c r="D233" s="21">
        <v>149.30000000000001</v>
      </c>
      <c r="E233" s="21">
        <v>728.6</v>
      </c>
      <c r="F233" s="21">
        <v>8.1</v>
      </c>
      <c r="G233" s="21">
        <v>27.8</v>
      </c>
      <c r="H233" s="21" t="s">
        <v>110</v>
      </c>
      <c r="I233" s="21"/>
      <c r="J233" s="21"/>
      <c r="K233" s="18"/>
    </row>
    <row r="234" spans="1:11">
      <c r="A234" s="2" t="s">
        <v>113</v>
      </c>
      <c r="B234" s="20" t="s">
        <v>95</v>
      </c>
      <c r="C234" s="21" t="s">
        <v>114</v>
      </c>
      <c r="D234" s="21">
        <v>129.5</v>
      </c>
      <c r="E234" s="21">
        <v>692.6</v>
      </c>
      <c r="F234" s="21" t="s">
        <v>122</v>
      </c>
      <c r="G234" s="21">
        <v>18.7</v>
      </c>
      <c r="H234" s="21" t="s">
        <v>133</v>
      </c>
      <c r="I234" s="21"/>
      <c r="J234" s="21"/>
      <c r="K234" s="18"/>
    </row>
    <row r="235" spans="1:11">
      <c r="A235" s="2" t="s">
        <v>113</v>
      </c>
      <c r="B235" s="20" t="s">
        <v>95</v>
      </c>
      <c r="C235" s="21">
        <v>84.4</v>
      </c>
      <c r="D235" s="21">
        <v>73.400000000000006</v>
      </c>
      <c r="E235" s="21">
        <v>671.9</v>
      </c>
      <c r="F235" s="21">
        <v>3.2</v>
      </c>
      <c r="G235" s="21">
        <v>24.3</v>
      </c>
      <c r="H235" s="21" t="s">
        <v>152</v>
      </c>
      <c r="I235" s="21"/>
      <c r="J235" s="21"/>
      <c r="K235" s="18"/>
    </row>
    <row r="236" spans="1:11">
      <c r="A236" s="2" t="s">
        <v>113</v>
      </c>
      <c r="B236" s="20" t="s">
        <v>99</v>
      </c>
      <c r="C236" s="21">
        <v>92.5</v>
      </c>
      <c r="D236" s="21">
        <v>121.1</v>
      </c>
      <c r="E236" s="21">
        <v>674.4</v>
      </c>
      <c r="F236" s="21">
        <v>8.6</v>
      </c>
      <c r="G236" s="21">
        <v>17.7</v>
      </c>
      <c r="H236" s="21" t="s">
        <v>165</v>
      </c>
      <c r="I236" s="21"/>
      <c r="J236" s="21"/>
      <c r="K236" s="18"/>
    </row>
    <row r="237" spans="1:11">
      <c r="A237" s="2" t="s">
        <v>106</v>
      </c>
      <c r="B237" s="20" t="s">
        <v>104</v>
      </c>
      <c r="C237" s="21">
        <v>91.4</v>
      </c>
      <c r="D237" s="21">
        <v>142.4</v>
      </c>
      <c r="E237" s="21">
        <v>601.4</v>
      </c>
      <c r="F237" s="21">
        <v>10.6</v>
      </c>
      <c r="G237" s="21">
        <v>19.600000000000001</v>
      </c>
      <c r="H237" s="21" t="s">
        <v>183</v>
      </c>
      <c r="I237" s="21"/>
      <c r="J237" s="21"/>
      <c r="K237" s="18"/>
    </row>
    <row r="238" spans="1:11">
      <c r="A238" s="2" t="s">
        <v>113</v>
      </c>
      <c r="B238" s="20" t="s">
        <v>99</v>
      </c>
      <c r="C238" s="21">
        <v>92.5</v>
      </c>
      <c r="D238" s="21">
        <v>121.1</v>
      </c>
      <c r="E238" s="21">
        <v>674.4</v>
      </c>
      <c r="F238" s="21">
        <v>8.6</v>
      </c>
      <c r="G238" s="21">
        <v>18.2</v>
      </c>
      <c r="H238" s="21" t="s">
        <v>154</v>
      </c>
      <c r="I238" s="21"/>
      <c r="J238" s="21"/>
      <c r="K238" s="18"/>
    </row>
    <row r="239" spans="1:11">
      <c r="A239" s="2" t="s">
        <v>113</v>
      </c>
      <c r="B239" s="20" t="s">
        <v>95</v>
      </c>
      <c r="C239" s="21" t="s">
        <v>114</v>
      </c>
      <c r="D239" s="21">
        <v>129.5</v>
      </c>
      <c r="E239" s="21">
        <v>692.6</v>
      </c>
      <c r="F239" s="21" t="s">
        <v>122</v>
      </c>
      <c r="G239" s="21">
        <v>18.8</v>
      </c>
      <c r="H239" s="21" t="s">
        <v>117</v>
      </c>
      <c r="I239" s="21"/>
      <c r="J239" s="21"/>
      <c r="K239" s="18"/>
    </row>
    <row r="240" spans="1:11">
      <c r="A240" s="2" t="s">
        <v>113</v>
      </c>
      <c r="B240" s="20" t="s">
        <v>99</v>
      </c>
      <c r="C240" s="21">
        <v>92.5</v>
      </c>
      <c r="D240" s="21">
        <v>121.1</v>
      </c>
      <c r="E240" s="21">
        <v>674.4</v>
      </c>
      <c r="F240" s="21">
        <v>8.6</v>
      </c>
      <c r="G240" s="21">
        <v>25.1</v>
      </c>
      <c r="H240" s="21" t="s">
        <v>110</v>
      </c>
      <c r="I240" s="21"/>
      <c r="J240" s="21"/>
      <c r="K240" s="18"/>
    </row>
    <row r="241" spans="1:11">
      <c r="A241" s="2" t="s">
        <v>130</v>
      </c>
      <c r="B241" s="20" t="s">
        <v>104</v>
      </c>
      <c r="C241" s="21">
        <v>81.900000000000006</v>
      </c>
      <c r="D241" s="21" t="s">
        <v>127</v>
      </c>
      <c r="E241" s="21">
        <v>7.9</v>
      </c>
      <c r="F241" s="21">
        <v>3.5</v>
      </c>
      <c r="G241" s="21">
        <v>13.4</v>
      </c>
      <c r="H241" s="21" t="s">
        <v>190</v>
      </c>
      <c r="I241" s="21"/>
      <c r="J241" s="21"/>
      <c r="K241" s="18"/>
    </row>
    <row r="242" spans="1:11">
      <c r="A242" s="2" t="s">
        <v>130</v>
      </c>
      <c r="B242" s="20" t="s">
        <v>124</v>
      </c>
      <c r="C242" s="21" t="s">
        <v>116</v>
      </c>
      <c r="D242" s="21">
        <v>17.2</v>
      </c>
      <c r="E242" s="21">
        <v>43.5</v>
      </c>
      <c r="F242" s="21">
        <v>3.8</v>
      </c>
      <c r="G242" s="21">
        <v>15.2</v>
      </c>
      <c r="H242" s="21" t="s">
        <v>92</v>
      </c>
      <c r="I242" s="21"/>
      <c r="J242" s="21"/>
      <c r="K242" s="18"/>
    </row>
    <row r="243" spans="1:11">
      <c r="A243" s="2" t="s">
        <v>130</v>
      </c>
      <c r="B243" s="20" t="s">
        <v>91</v>
      </c>
      <c r="C243" s="21" t="s">
        <v>191</v>
      </c>
      <c r="D243" s="21">
        <v>23.3</v>
      </c>
      <c r="E243" s="21">
        <v>85.3</v>
      </c>
      <c r="F243" s="21">
        <v>2.2999999999999998</v>
      </c>
      <c r="G243" s="21">
        <v>16.7</v>
      </c>
      <c r="H243" s="21" t="s">
        <v>192</v>
      </c>
      <c r="I243" s="21"/>
      <c r="J243" s="21"/>
      <c r="K243" s="18"/>
    </row>
    <row r="244" spans="1:11">
      <c r="A244" s="2" t="s">
        <v>106</v>
      </c>
      <c r="B244" s="20" t="s">
        <v>104</v>
      </c>
      <c r="C244" s="21">
        <v>94.2</v>
      </c>
      <c r="D244" s="21">
        <v>122.3</v>
      </c>
      <c r="E244" s="21">
        <v>589.9</v>
      </c>
      <c r="F244" s="21">
        <v>12.9</v>
      </c>
      <c r="G244" s="21">
        <v>15.4</v>
      </c>
      <c r="H244" s="21" t="s">
        <v>169</v>
      </c>
      <c r="I244" s="21"/>
      <c r="J244" s="21"/>
      <c r="K244" s="18"/>
    </row>
    <row r="245" spans="1:11">
      <c r="A245" s="2" t="s">
        <v>106</v>
      </c>
      <c r="B245" s="20" t="s">
        <v>104</v>
      </c>
      <c r="C245" s="21">
        <v>91.8</v>
      </c>
      <c r="D245" s="21">
        <v>175.1</v>
      </c>
      <c r="E245" s="21">
        <v>700.7</v>
      </c>
      <c r="F245" s="21">
        <v>13.8</v>
      </c>
      <c r="G245" s="21">
        <v>21.9</v>
      </c>
      <c r="H245" s="21" t="s">
        <v>188</v>
      </c>
      <c r="I245" s="21"/>
      <c r="J245" s="21"/>
      <c r="K245" s="18"/>
    </row>
    <row r="246" spans="1:11">
      <c r="A246" s="2" t="s">
        <v>106</v>
      </c>
      <c r="B246" s="20" t="s">
        <v>104</v>
      </c>
      <c r="C246" s="21">
        <v>91.8</v>
      </c>
      <c r="D246" s="21">
        <v>175.1</v>
      </c>
      <c r="E246" s="21">
        <v>700.7</v>
      </c>
      <c r="F246" s="21">
        <v>13.8</v>
      </c>
      <c r="G246" s="21">
        <v>22.4</v>
      </c>
      <c r="H246" s="21" t="s">
        <v>147</v>
      </c>
      <c r="I246" s="21"/>
      <c r="J246" s="21"/>
      <c r="K246" s="18"/>
    </row>
    <row r="247" spans="1:11">
      <c r="A247" s="2" t="s">
        <v>106</v>
      </c>
      <c r="B247" s="20" t="s">
        <v>104</v>
      </c>
      <c r="C247" s="21">
        <v>91.8</v>
      </c>
      <c r="D247" s="21">
        <v>175.1</v>
      </c>
      <c r="E247" s="21">
        <v>700.7</v>
      </c>
      <c r="F247" s="21">
        <v>13.8</v>
      </c>
      <c r="G247" s="21">
        <v>26.8</v>
      </c>
      <c r="H247" s="21" t="s">
        <v>119</v>
      </c>
      <c r="I247" s="21"/>
      <c r="J247" s="21"/>
      <c r="K247" s="18"/>
    </row>
    <row r="248" spans="1:11">
      <c r="A248" s="2" t="s">
        <v>106</v>
      </c>
      <c r="B248" s="20" t="s">
        <v>104</v>
      </c>
      <c r="C248" s="21">
        <v>91.8</v>
      </c>
      <c r="D248" s="21">
        <v>175.1</v>
      </c>
      <c r="E248" s="21">
        <v>700.7</v>
      </c>
      <c r="F248" s="21">
        <v>13.8</v>
      </c>
      <c r="G248" s="21">
        <v>25.7</v>
      </c>
      <c r="H248" s="21" t="s">
        <v>141</v>
      </c>
      <c r="I248" s="21"/>
      <c r="J248" s="21"/>
      <c r="K248" s="18"/>
    </row>
    <row r="249" spans="1:11">
      <c r="A249" s="2" t="s">
        <v>106</v>
      </c>
      <c r="B249" s="20" t="s">
        <v>124</v>
      </c>
      <c r="C249" s="21">
        <v>92.2</v>
      </c>
      <c r="D249" s="21">
        <v>91.6</v>
      </c>
      <c r="E249" s="21">
        <v>503.6</v>
      </c>
      <c r="F249" s="21">
        <v>9.6</v>
      </c>
      <c r="G249" s="21">
        <v>20.7</v>
      </c>
      <c r="H249" s="21" t="s">
        <v>149</v>
      </c>
      <c r="I249" s="21"/>
      <c r="J249" s="21"/>
      <c r="K249" s="18"/>
    </row>
    <row r="250" spans="1:11">
      <c r="A250" s="2" t="s">
        <v>106</v>
      </c>
      <c r="B250" s="20" t="s">
        <v>124</v>
      </c>
      <c r="C250" s="21">
        <v>93.1</v>
      </c>
      <c r="D250" s="21">
        <v>157.30000000000001</v>
      </c>
      <c r="E250" s="21">
        <v>666.7</v>
      </c>
      <c r="F250" s="21">
        <v>13.5</v>
      </c>
      <c r="G250" s="21">
        <v>28.7</v>
      </c>
      <c r="H250" s="21" t="s">
        <v>182</v>
      </c>
      <c r="I250" s="21"/>
      <c r="J250" s="21"/>
      <c r="K250" s="18"/>
    </row>
    <row r="251" spans="1:11">
      <c r="A251" s="2" t="s">
        <v>106</v>
      </c>
      <c r="B251" s="20" t="s">
        <v>124</v>
      </c>
      <c r="C251" s="21">
        <v>93.1</v>
      </c>
      <c r="D251" s="21">
        <v>157.30000000000001</v>
      </c>
      <c r="E251" s="21">
        <v>666.7</v>
      </c>
      <c r="F251" s="21">
        <v>13.5</v>
      </c>
      <c r="G251" s="21">
        <v>21.7</v>
      </c>
      <c r="H251" s="21" t="s">
        <v>117</v>
      </c>
      <c r="I251" s="21"/>
      <c r="J251" s="21"/>
      <c r="K251" s="18"/>
    </row>
    <row r="252" spans="1:11">
      <c r="A252" s="2" t="s">
        <v>106</v>
      </c>
      <c r="B252" s="20" t="s">
        <v>124</v>
      </c>
      <c r="C252" s="21">
        <v>93.1</v>
      </c>
      <c r="D252" s="21">
        <v>157.30000000000001</v>
      </c>
      <c r="E252" s="21">
        <v>666.7</v>
      </c>
      <c r="F252" s="21">
        <v>13.5</v>
      </c>
      <c r="G252" s="21">
        <v>26.8</v>
      </c>
      <c r="H252" s="21" t="s">
        <v>165</v>
      </c>
      <c r="I252" s="21"/>
      <c r="J252" s="21"/>
      <c r="K252" s="18"/>
    </row>
    <row r="253" spans="1:11">
      <c r="A253" s="2" t="s">
        <v>106</v>
      </c>
      <c r="B253" s="20" t="s">
        <v>124</v>
      </c>
      <c r="C253" s="21">
        <v>93.1</v>
      </c>
      <c r="D253" s="21">
        <v>157.30000000000001</v>
      </c>
      <c r="E253" s="21">
        <v>666.7</v>
      </c>
      <c r="F253" s="21">
        <v>13.5</v>
      </c>
      <c r="G253" s="21" t="s">
        <v>140</v>
      </c>
      <c r="H253" s="21" t="s">
        <v>152</v>
      </c>
      <c r="I253" s="21"/>
      <c r="J253" s="21"/>
      <c r="K253" s="18"/>
    </row>
    <row r="254" spans="1:11">
      <c r="A254" s="2" t="s">
        <v>106</v>
      </c>
      <c r="B254" s="20" t="s">
        <v>124</v>
      </c>
      <c r="C254" s="21">
        <v>93.1</v>
      </c>
      <c r="D254" s="21">
        <v>157.30000000000001</v>
      </c>
      <c r="E254" s="21">
        <v>666.7</v>
      </c>
      <c r="F254" s="21">
        <v>13.5</v>
      </c>
      <c r="G254" s="21">
        <v>22.1</v>
      </c>
      <c r="H254" s="21" t="s">
        <v>143</v>
      </c>
      <c r="I254" s="21"/>
      <c r="J254" s="21"/>
      <c r="K254" s="18"/>
    </row>
    <row r="255" spans="1:11">
      <c r="A255" s="2" t="s">
        <v>106</v>
      </c>
      <c r="B255" s="20" t="s">
        <v>155</v>
      </c>
      <c r="C255" s="21">
        <v>91.9</v>
      </c>
      <c r="D255" s="21">
        <v>109.2</v>
      </c>
      <c r="E255" s="21">
        <v>565.5</v>
      </c>
      <c r="F255" s="21" t="s">
        <v>111</v>
      </c>
      <c r="G255" s="21">
        <v>21.4</v>
      </c>
      <c r="H255" s="21" t="s">
        <v>119</v>
      </c>
      <c r="I255" s="21"/>
      <c r="J255" s="21"/>
      <c r="K255" s="18"/>
    </row>
    <row r="256" spans="1:11">
      <c r="A256" s="2" t="s">
        <v>106</v>
      </c>
      <c r="B256" s="20" t="s">
        <v>155</v>
      </c>
      <c r="C256" s="21">
        <v>91.6</v>
      </c>
      <c r="D256" s="21">
        <v>138.1</v>
      </c>
      <c r="E256" s="21">
        <v>621.70000000000005</v>
      </c>
      <c r="F256" s="21">
        <v>6.3</v>
      </c>
      <c r="G256" s="21">
        <v>18.899999999999999</v>
      </c>
      <c r="H256" s="21" t="s">
        <v>183</v>
      </c>
      <c r="I256" s="21"/>
      <c r="J256" s="21"/>
      <c r="K256" s="18"/>
    </row>
    <row r="257" spans="1:11">
      <c r="A257" s="2" t="s">
        <v>106</v>
      </c>
      <c r="B257" s="20" t="s">
        <v>155</v>
      </c>
      <c r="C257" s="21">
        <v>87.5</v>
      </c>
      <c r="D257" s="21" t="s">
        <v>193</v>
      </c>
      <c r="E257" s="21">
        <v>694.8</v>
      </c>
      <c r="F257" s="21" t="s">
        <v>153</v>
      </c>
      <c r="G257" s="21">
        <v>22.3</v>
      </c>
      <c r="H257" s="21" t="s">
        <v>154</v>
      </c>
      <c r="I257" s="21"/>
      <c r="J257" s="21"/>
      <c r="K257" s="18"/>
    </row>
    <row r="258" spans="1:11">
      <c r="A258" s="2" t="s">
        <v>106</v>
      </c>
      <c r="B258" s="20" t="s">
        <v>99</v>
      </c>
      <c r="C258" s="21">
        <v>94.2</v>
      </c>
      <c r="D258" s="21">
        <v>117.2</v>
      </c>
      <c r="E258" s="21">
        <v>581.1</v>
      </c>
      <c r="F258" s="21" t="s">
        <v>150</v>
      </c>
      <c r="G258" s="21">
        <v>23.9</v>
      </c>
      <c r="H258" s="21" t="s">
        <v>183</v>
      </c>
      <c r="I258" s="21"/>
      <c r="J258" s="21"/>
      <c r="K258" s="18"/>
    </row>
    <row r="259" spans="1:11">
      <c r="A259" s="2" t="s">
        <v>106</v>
      </c>
      <c r="B259" s="20" t="s">
        <v>99</v>
      </c>
      <c r="C259" s="21">
        <v>94.2</v>
      </c>
      <c r="D259" s="21">
        <v>117.2</v>
      </c>
      <c r="E259" s="21">
        <v>581.1</v>
      </c>
      <c r="F259" s="21" t="s">
        <v>150</v>
      </c>
      <c r="G259" s="21">
        <v>21.4</v>
      </c>
      <c r="H259" s="21" t="s">
        <v>126</v>
      </c>
      <c r="I259" s="21"/>
      <c r="J259" s="21"/>
      <c r="K259" s="18"/>
    </row>
    <row r="260" spans="1:11">
      <c r="A260" s="2" t="s">
        <v>106</v>
      </c>
      <c r="B260" s="20" t="s">
        <v>99</v>
      </c>
      <c r="C260" s="21">
        <v>91.8</v>
      </c>
      <c r="D260" s="21">
        <v>170.9</v>
      </c>
      <c r="E260" s="21">
        <v>692.3</v>
      </c>
      <c r="F260" s="21">
        <v>13.7</v>
      </c>
      <c r="G260" s="21">
        <v>20.6</v>
      </c>
      <c r="H260" s="21" t="s">
        <v>161</v>
      </c>
      <c r="I260" s="21"/>
      <c r="J260" s="21"/>
      <c r="K260" s="18"/>
    </row>
    <row r="261" spans="1:11">
      <c r="A261" s="2" t="s">
        <v>106</v>
      </c>
      <c r="B261" s="20" t="s">
        <v>99</v>
      </c>
      <c r="C261" s="21">
        <v>91.8</v>
      </c>
      <c r="D261" s="21">
        <v>170.9</v>
      </c>
      <c r="E261" s="21">
        <v>692.3</v>
      </c>
      <c r="F261" s="21">
        <v>13.7</v>
      </c>
      <c r="G261" s="21">
        <v>23.7</v>
      </c>
      <c r="H261" s="21" t="s">
        <v>117</v>
      </c>
      <c r="I261" s="21"/>
      <c r="J261" s="21"/>
      <c r="K261" s="18"/>
    </row>
    <row r="262" spans="1:11">
      <c r="A262" s="2" t="s">
        <v>106</v>
      </c>
      <c r="B262" s="20" t="s">
        <v>109</v>
      </c>
      <c r="C262" s="21">
        <v>93.6</v>
      </c>
      <c r="D262" s="21">
        <v>97.9</v>
      </c>
      <c r="E262" s="21" t="s">
        <v>194</v>
      </c>
      <c r="F262" s="21">
        <v>14.4</v>
      </c>
      <c r="G262" s="21">
        <v>28.3</v>
      </c>
      <c r="H262" s="21" t="s">
        <v>134</v>
      </c>
      <c r="I262" s="21"/>
      <c r="J262" s="21"/>
      <c r="K262" s="18"/>
    </row>
    <row r="263" spans="1:11">
      <c r="A263" s="2" t="s">
        <v>106</v>
      </c>
      <c r="B263" s="20" t="s">
        <v>91</v>
      </c>
      <c r="C263" s="21">
        <v>91.6</v>
      </c>
      <c r="D263" s="21">
        <v>112.4</v>
      </c>
      <c r="E263" s="21" t="s">
        <v>195</v>
      </c>
      <c r="F263" s="21">
        <v>8.9</v>
      </c>
      <c r="G263" s="21">
        <v>11.2</v>
      </c>
      <c r="H263" s="21" t="s">
        <v>160</v>
      </c>
      <c r="I263" s="21"/>
      <c r="J263" s="21"/>
      <c r="K263" s="18"/>
    </row>
    <row r="264" spans="1:11">
      <c r="A264" s="2" t="s">
        <v>106</v>
      </c>
      <c r="B264" s="20" t="s">
        <v>91</v>
      </c>
      <c r="C264" s="21">
        <v>91.6</v>
      </c>
      <c r="D264" s="21">
        <v>112.4</v>
      </c>
      <c r="E264" s="21" t="s">
        <v>195</v>
      </c>
      <c r="F264" s="21">
        <v>8.9</v>
      </c>
      <c r="G264" s="21">
        <v>21.4</v>
      </c>
      <c r="H264" s="21" t="s">
        <v>123</v>
      </c>
      <c r="I264" s="21"/>
      <c r="J264" s="21"/>
      <c r="K264" s="18"/>
    </row>
    <row r="265" spans="1:11">
      <c r="A265" s="2" t="s">
        <v>106</v>
      </c>
      <c r="B265" s="20" t="s">
        <v>91</v>
      </c>
      <c r="C265" s="21">
        <v>91.1</v>
      </c>
      <c r="D265" s="21">
        <v>141.1</v>
      </c>
      <c r="E265" s="21">
        <v>629.1</v>
      </c>
      <c r="F265" s="21">
        <v>7.1</v>
      </c>
      <c r="G265" s="21">
        <v>19.3</v>
      </c>
      <c r="H265" s="21" t="s">
        <v>141</v>
      </c>
      <c r="I265" s="21"/>
      <c r="J265" s="21"/>
      <c r="K265" s="18"/>
    </row>
    <row r="266" spans="1:11">
      <c r="A266" s="2" t="s">
        <v>106</v>
      </c>
      <c r="B266" s="20" t="s">
        <v>91</v>
      </c>
      <c r="C266" s="21">
        <v>94.3</v>
      </c>
      <c r="D266" s="21">
        <v>167.6</v>
      </c>
      <c r="E266" s="21">
        <v>684.4</v>
      </c>
      <c r="F266" s="21" t="s">
        <v>196</v>
      </c>
      <c r="G266" s="21">
        <v>21.8</v>
      </c>
      <c r="H266" s="21" t="s">
        <v>181</v>
      </c>
      <c r="I266" s="21"/>
      <c r="J266" s="21"/>
      <c r="K266" s="18"/>
    </row>
    <row r="267" spans="1:11">
      <c r="A267" s="2" t="s">
        <v>106</v>
      </c>
      <c r="B267" s="20" t="s">
        <v>95</v>
      </c>
      <c r="C267" s="21">
        <v>93.7</v>
      </c>
      <c r="D267" s="21">
        <v>102.2</v>
      </c>
      <c r="E267" s="21">
        <v>550.29999999999995</v>
      </c>
      <c r="F267" s="21">
        <v>14.6</v>
      </c>
      <c r="G267" s="21">
        <v>22.1</v>
      </c>
      <c r="H267" s="21" t="s">
        <v>147</v>
      </c>
      <c r="I267" s="21"/>
      <c r="J267" s="21"/>
      <c r="K267" s="18"/>
    </row>
    <row r="268" spans="1:11">
      <c r="A268" s="2" t="s">
        <v>106</v>
      </c>
      <c r="B268" s="20" t="s">
        <v>95</v>
      </c>
      <c r="C268" s="21">
        <v>94.3</v>
      </c>
      <c r="D268" s="21">
        <v>131.69999999999999</v>
      </c>
      <c r="E268" s="21">
        <v>607.1</v>
      </c>
      <c r="F268" s="21">
        <v>22.7</v>
      </c>
      <c r="G268" s="21">
        <v>19.399999999999999</v>
      </c>
      <c r="H268" s="21" t="s">
        <v>185</v>
      </c>
      <c r="I268" s="21"/>
      <c r="J268" s="21"/>
      <c r="K268" s="18"/>
    </row>
    <row r="269" spans="1:11">
      <c r="A269" s="2" t="s">
        <v>106</v>
      </c>
      <c r="B269" s="20" t="s">
        <v>95</v>
      </c>
      <c r="C269" s="21">
        <v>92.1</v>
      </c>
      <c r="D269" s="21">
        <v>152.6</v>
      </c>
      <c r="E269" s="21">
        <v>658.2</v>
      </c>
      <c r="F269" s="21">
        <v>14.3</v>
      </c>
      <c r="G269" s="21">
        <v>23.7</v>
      </c>
      <c r="H269" s="21" t="s">
        <v>140</v>
      </c>
      <c r="I269" s="21"/>
      <c r="J269" s="21"/>
      <c r="K269" s="18"/>
    </row>
    <row r="270" spans="1:11">
      <c r="A270" s="2" t="s">
        <v>106</v>
      </c>
      <c r="B270" s="20" t="s">
        <v>95</v>
      </c>
      <c r="C270" s="21">
        <v>92.1</v>
      </c>
      <c r="D270" s="21">
        <v>152.6</v>
      </c>
      <c r="E270" s="21">
        <v>658.2</v>
      </c>
      <c r="F270" s="21">
        <v>14.3</v>
      </c>
      <c r="G270" s="21" t="s">
        <v>125</v>
      </c>
      <c r="H270" s="21" t="s">
        <v>134</v>
      </c>
      <c r="I270" s="21"/>
      <c r="J270" s="21"/>
      <c r="K270" s="18"/>
    </row>
    <row r="271" spans="1:11">
      <c r="A271" s="2" t="s">
        <v>106</v>
      </c>
      <c r="B271" s="20" t="s">
        <v>95</v>
      </c>
      <c r="C271" s="21">
        <v>92.1</v>
      </c>
      <c r="D271" s="21">
        <v>152.6</v>
      </c>
      <c r="E271" s="21">
        <v>658.2</v>
      </c>
      <c r="F271" s="21">
        <v>14.3</v>
      </c>
      <c r="G271" s="21">
        <v>19.100000000000001</v>
      </c>
      <c r="H271" s="21" t="s">
        <v>181</v>
      </c>
      <c r="I271" s="21"/>
      <c r="J271" s="21"/>
      <c r="K271" s="18"/>
    </row>
    <row r="272" spans="1:11">
      <c r="A272" s="2" t="s">
        <v>106</v>
      </c>
      <c r="B272" s="20" t="s">
        <v>95</v>
      </c>
      <c r="C272" s="21">
        <v>92.1</v>
      </c>
      <c r="D272" s="21">
        <v>152.6</v>
      </c>
      <c r="E272" s="21">
        <v>658.2</v>
      </c>
      <c r="F272" s="21">
        <v>14.3</v>
      </c>
      <c r="G272" s="21">
        <v>21.8</v>
      </c>
      <c r="H272" s="21" t="s">
        <v>177</v>
      </c>
      <c r="I272" s="21"/>
      <c r="J272" s="21"/>
      <c r="K272" s="18"/>
    </row>
    <row r="273" spans="1:11">
      <c r="A273" s="2" t="s">
        <v>106</v>
      </c>
      <c r="B273" s="20" t="s">
        <v>95</v>
      </c>
      <c r="C273" s="21">
        <v>92.1</v>
      </c>
      <c r="D273" s="21">
        <v>152.6</v>
      </c>
      <c r="E273" s="21">
        <v>658.2</v>
      </c>
      <c r="F273" s="21">
        <v>14.3</v>
      </c>
      <c r="G273" s="21">
        <v>20.100000000000001</v>
      </c>
      <c r="H273" s="21" t="s">
        <v>180</v>
      </c>
      <c r="I273" s="21"/>
      <c r="J273" s="21"/>
      <c r="K273" s="18"/>
    </row>
    <row r="274" spans="1:11">
      <c r="A274" s="2" t="s">
        <v>106</v>
      </c>
      <c r="B274" s="20" t="s">
        <v>95</v>
      </c>
      <c r="C274" s="21">
        <v>92.1</v>
      </c>
      <c r="D274" s="21">
        <v>152.6</v>
      </c>
      <c r="E274" s="21">
        <v>658.2</v>
      </c>
      <c r="F274" s="21">
        <v>14.3</v>
      </c>
      <c r="G274" s="21">
        <v>20.2</v>
      </c>
      <c r="H274" s="21" t="s">
        <v>128</v>
      </c>
      <c r="I274" s="21"/>
      <c r="J274" s="21"/>
      <c r="K274" s="18"/>
    </row>
    <row r="275" spans="1:11">
      <c r="A275" s="2" t="s">
        <v>197</v>
      </c>
      <c r="B275" s="20" t="s">
        <v>104</v>
      </c>
      <c r="C275" s="21">
        <v>84.4</v>
      </c>
      <c r="D275" s="21">
        <v>27.2</v>
      </c>
      <c r="E275" s="21">
        <v>353.5</v>
      </c>
      <c r="F275" s="21">
        <v>6.8</v>
      </c>
      <c r="G275" s="21">
        <v>4.8</v>
      </c>
      <c r="H275" s="21" t="s">
        <v>189</v>
      </c>
      <c r="I275" s="21"/>
      <c r="J275" s="21"/>
      <c r="K275" s="18"/>
    </row>
    <row r="276" spans="1:11">
      <c r="A276" s="2" t="s">
        <v>197</v>
      </c>
      <c r="B276" s="20" t="s">
        <v>124</v>
      </c>
      <c r="C276" s="21" t="s">
        <v>160</v>
      </c>
      <c r="D276" s="21">
        <v>27.8</v>
      </c>
      <c r="E276" s="21">
        <v>354.6</v>
      </c>
      <c r="F276" s="21">
        <v>5.3</v>
      </c>
      <c r="G276" s="21">
        <v>5.0999999999999996</v>
      </c>
      <c r="H276" s="21" t="s">
        <v>198</v>
      </c>
      <c r="I276" s="21"/>
      <c r="J276" s="21"/>
      <c r="K276" s="18"/>
    </row>
    <row r="277" spans="1:11">
      <c r="A277" s="2" t="s">
        <v>197</v>
      </c>
      <c r="B277" s="20" t="s">
        <v>155</v>
      </c>
      <c r="C277" s="21">
        <v>84.6</v>
      </c>
      <c r="D277" s="21">
        <v>26.4</v>
      </c>
      <c r="E277" s="21" t="s">
        <v>199</v>
      </c>
      <c r="F277" s="21" t="s">
        <v>200</v>
      </c>
      <c r="G277" s="21">
        <v>5.0999999999999996</v>
      </c>
      <c r="H277" s="21" t="s">
        <v>198</v>
      </c>
      <c r="I277" s="21"/>
      <c r="J277" s="21"/>
      <c r="K277" s="18"/>
    </row>
    <row r="278" spans="1:11">
      <c r="A278" s="2" t="s">
        <v>197</v>
      </c>
      <c r="B278" s="20" t="s">
        <v>109</v>
      </c>
      <c r="C278" s="21">
        <v>85.4</v>
      </c>
      <c r="D278" s="21">
        <v>25.4</v>
      </c>
      <c r="E278" s="21">
        <v>349.7</v>
      </c>
      <c r="F278" s="21">
        <v>2.6</v>
      </c>
      <c r="G278" s="21">
        <v>4.5999999999999996</v>
      </c>
      <c r="H278" s="21" t="s">
        <v>125</v>
      </c>
      <c r="I278" s="21"/>
      <c r="J278" s="21"/>
      <c r="K278" s="18"/>
    </row>
    <row r="279" spans="1:11">
      <c r="A279" s="2" t="s">
        <v>197</v>
      </c>
      <c r="B279" s="20" t="s">
        <v>109</v>
      </c>
      <c r="C279" s="21">
        <v>85.4</v>
      </c>
      <c r="D279" s="21">
        <v>25.4</v>
      </c>
      <c r="E279" s="21">
        <v>349.7</v>
      </c>
      <c r="F279" s="21">
        <v>2.6</v>
      </c>
      <c r="G279" s="21">
        <v>4.5999999999999996</v>
      </c>
      <c r="H279" s="21" t="s">
        <v>125</v>
      </c>
      <c r="I279" s="21"/>
      <c r="J279" s="21"/>
      <c r="K279" s="18"/>
    </row>
    <row r="280" spans="1:11">
      <c r="A280" s="2" t="s">
        <v>197</v>
      </c>
      <c r="B280" s="20" t="s">
        <v>109</v>
      </c>
      <c r="C280" s="21">
        <v>85.4</v>
      </c>
      <c r="D280" s="21">
        <v>25.4</v>
      </c>
      <c r="E280" s="21">
        <v>349.7</v>
      </c>
      <c r="F280" s="21">
        <v>2.6</v>
      </c>
      <c r="G280" s="21">
        <v>4.5999999999999996</v>
      </c>
      <c r="H280" s="21" t="s">
        <v>125</v>
      </c>
      <c r="I280" s="21"/>
      <c r="J280" s="21"/>
      <c r="K280" s="18"/>
    </row>
    <row r="281" spans="1:11">
      <c r="A281" s="2" t="s">
        <v>197</v>
      </c>
      <c r="B281" s="20" t="s">
        <v>109</v>
      </c>
      <c r="C281" s="21">
        <v>85.4</v>
      </c>
      <c r="D281" s="21">
        <v>25.4</v>
      </c>
      <c r="E281" s="21">
        <v>349.7</v>
      </c>
      <c r="F281" s="21">
        <v>2.6</v>
      </c>
      <c r="G281" s="21">
        <v>4.5999999999999996</v>
      </c>
      <c r="H281" s="21" t="s">
        <v>125</v>
      </c>
      <c r="I281" s="21"/>
      <c r="J281" s="21"/>
      <c r="K281" s="18"/>
    </row>
    <row r="282" spans="1:11">
      <c r="A282" s="2" t="s">
        <v>197</v>
      </c>
      <c r="B282" s="20" t="s">
        <v>91</v>
      </c>
      <c r="C282" s="21">
        <v>84.7</v>
      </c>
      <c r="D282" s="21">
        <v>26.7</v>
      </c>
      <c r="E282" s="21">
        <v>352.6</v>
      </c>
      <c r="F282" s="21">
        <v>4.0999999999999996</v>
      </c>
      <c r="G282" s="21">
        <v>2.2000000000000002</v>
      </c>
      <c r="H282" s="21" t="s">
        <v>161</v>
      </c>
      <c r="I282" s="21"/>
      <c r="J282" s="21"/>
      <c r="K282" s="18"/>
    </row>
    <row r="283" spans="1:11">
      <c r="A283" s="2" t="s">
        <v>197</v>
      </c>
      <c r="B283" s="20" t="s">
        <v>95</v>
      </c>
      <c r="C283" s="21">
        <v>85.4</v>
      </c>
      <c r="D283" s="21">
        <v>25.4</v>
      </c>
      <c r="E283" s="21">
        <v>349.7</v>
      </c>
      <c r="F283" s="21">
        <v>2.6</v>
      </c>
      <c r="G283" s="21">
        <v>5.0999999999999996</v>
      </c>
      <c r="H283" s="21" t="s">
        <v>140</v>
      </c>
      <c r="I283" s="21"/>
      <c r="J283" s="21"/>
      <c r="K283" s="18"/>
    </row>
    <row r="284" spans="1:11">
      <c r="A284" s="2" t="s">
        <v>159</v>
      </c>
      <c r="B284" s="20" t="s">
        <v>104</v>
      </c>
      <c r="C284" s="21">
        <v>84.9</v>
      </c>
      <c r="D284" s="21">
        <v>27.5</v>
      </c>
      <c r="E284" s="21">
        <v>353.5</v>
      </c>
      <c r="F284" s="21">
        <v>3.4</v>
      </c>
      <c r="G284" s="21">
        <v>4.2</v>
      </c>
      <c r="H284" s="21" t="s">
        <v>92</v>
      </c>
      <c r="I284" s="21"/>
      <c r="J284" s="21"/>
      <c r="K284" s="18"/>
    </row>
    <row r="285" spans="1:11">
      <c r="A285" s="2" t="s">
        <v>159</v>
      </c>
      <c r="B285" s="20" t="s">
        <v>124</v>
      </c>
      <c r="C285" s="21">
        <v>86.9</v>
      </c>
      <c r="D285" s="21">
        <v>6.6</v>
      </c>
      <c r="E285" s="21">
        <v>18.7</v>
      </c>
      <c r="F285" s="21">
        <v>3.2</v>
      </c>
      <c r="G285" s="21">
        <v>8.8000000000000007</v>
      </c>
      <c r="H285" s="21" t="s">
        <v>129</v>
      </c>
      <c r="I285" s="21"/>
      <c r="J285" s="21"/>
      <c r="K285" s="18"/>
    </row>
    <row r="286" spans="1:11">
      <c r="A286" s="2" t="s">
        <v>159</v>
      </c>
      <c r="B286" s="20" t="s">
        <v>91</v>
      </c>
      <c r="C286" s="21">
        <v>85.2</v>
      </c>
      <c r="D286" s="21">
        <v>4.9000000000000004</v>
      </c>
      <c r="E286" s="21">
        <v>15.8</v>
      </c>
      <c r="F286" s="21">
        <v>6.3</v>
      </c>
      <c r="G286" s="21">
        <v>7.5</v>
      </c>
      <c r="H286" s="21" t="s">
        <v>154</v>
      </c>
      <c r="I286" s="21"/>
      <c r="J286" s="21"/>
      <c r="K286" s="18"/>
    </row>
    <row r="287" spans="1:11">
      <c r="A287" s="2" t="s">
        <v>146</v>
      </c>
      <c r="B287" s="20" t="s">
        <v>104</v>
      </c>
      <c r="C287" s="21">
        <v>93.9</v>
      </c>
      <c r="D287" s="21">
        <v>169.7</v>
      </c>
      <c r="E287" s="21">
        <v>411.8</v>
      </c>
      <c r="F287" s="21">
        <v>12.3</v>
      </c>
      <c r="G287" s="21">
        <v>23.4</v>
      </c>
      <c r="H287" s="21" t="s">
        <v>117</v>
      </c>
      <c r="I287" s="21"/>
      <c r="J287" s="21"/>
      <c r="K287" s="18"/>
    </row>
    <row r="288" spans="1:11">
      <c r="A288" s="2" t="s">
        <v>146</v>
      </c>
      <c r="B288" s="20" t="s">
        <v>124</v>
      </c>
      <c r="C288" s="21">
        <v>91.2</v>
      </c>
      <c r="D288" s="21">
        <v>183.1</v>
      </c>
      <c r="E288" s="21">
        <v>437.7</v>
      </c>
      <c r="F288" s="21">
        <v>12.5</v>
      </c>
      <c r="G288" s="21">
        <v>12.6</v>
      </c>
      <c r="H288" s="21" t="s">
        <v>145</v>
      </c>
      <c r="I288" s="21"/>
      <c r="J288" s="21"/>
      <c r="K288" s="18"/>
    </row>
    <row r="289" spans="1:11">
      <c r="A289" s="2" t="s">
        <v>146</v>
      </c>
      <c r="B289" s="20" t="s">
        <v>99</v>
      </c>
      <c r="C289" s="21">
        <v>91.6</v>
      </c>
      <c r="D289" s="21">
        <v>104.2</v>
      </c>
      <c r="E289" s="21">
        <v>474.9</v>
      </c>
      <c r="F289" s="21" t="s">
        <v>101</v>
      </c>
      <c r="G289" s="21">
        <v>22.1</v>
      </c>
      <c r="H289" s="21" t="s">
        <v>178</v>
      </c>
      <c r="I289" s="21"/>
      <c r="J289" s="21"/>
      <c r="K289" s="18"/>
    </row>
    <row r="290" spans="1:11">
      <c r="A290" s="2" t="s">
        <v>146</v>
      </c>
      <c r="B290" s="20" t="s">
        <v>99</v>
      </c>
      <c r="C290" s="21">
        <v>91.6</v>
      </c>
      <c r="D290" s="21">
        <v>104.2</v>
      </c>
      <c r="E290" s="21">
        <v>474.9</v>
      </c>
      <c r="F290" s="21" t="s">
        <v>101</v>
      </c>
      <c r="G290" s="21">
        <v>24.2</v>
      </c>
      <c r="H290" s="21" t="s">
        <v>134</v>
      </c>
      <c r="I290" s="21"/>
      <c r="J290" s="21"/>
      <c r="K290" s="18"/>
    </row>
    <row r="291" spans="1:11">
      <c r="A291" s="2" t="s">
        <v>146</v>
      </c>
      <c r="B291" s="20" t="s">
        <v>99</v>
      </c>
      <c r="C291" s="21">
        <v>91.6</v>
      </c>
      <c r="D291" s="21">
        <v>104.2</v>
      </c>
      <c r="E291" s="21">
        <v>474.9</v>
      </c>
      <c r="F291" s="21" t="s">
        <v>101</v>
      </c>
      <c r="G291" s="21">
        <v>24.3</v>
      </c>
      <c r="H291" s="21" t="s">
        <v>166</v>
      </c>
      <c r="I291" s="21"/>
      <c r="J291" s="21"/>
      <c r="K291" s="18"/>
    </row>
    <row r="292" spans="1:11">
      <c r="A292" s="2" t="s">
        <v>146</v>
      </c>
      <c r="B292" s="20" t="s">
        <v>99</v>
      </c>
      <c r="C292" s="21">
        <v>91.6</v>
      </c>
      <c r="D292" s="21">
        <v>104.2</v>
      </c>
      <c r="E292" s="21">
        <v>474.9</v>
      </c>
      <c r="F292" s="21" t="s">
        <v>101</v>
      </c>
      <c r="G292" s="21">
        <v>18.7</v>
      </c>
      <c r="H292" s="21" t="s">
        <v>181</v>
      </c>
      <c r="I292" s="21"/>
      <c r="J292" s="21"/>
      <c r="K292" s="18"/>
    </row>
    <row r="293" spans="1:11">
      <c r="A293" s="2" t="s">
        <v>146</v>
      </c>
      <c r="B293" s="20" t="s">
        <v>99</v>
      </c>
      <c r="C293" s="21">
        <v>91.6</v>
      </c>
      <c r="D293" s="21">
        <v>104.2</v>
      </c>
      <c r="E293" s="21">
        <v>474.9</v>
      </c>
      <c r="F293" s="21" t="s">
        <v>101</v>
      </c>
      <c r="G293" s="21">
        <v>25.3</v>
      </c>
      <c r="H293" s="21" t="s">
        <v>141</v>
      </c>
      <c r="I293" s="21"/>
      <c r="J293" s="21"/>
      <c r="K293" s="18"/>
    </row>
    <row r="294" spans="1:11">
      <c r="A294" s="2" t="s">
        <v>146</v>
      </c>
      <c r="B294" s="20" t="s">
        <v>91</v>
      </c>
      <c r="C294" s="21">
        <v>91.6</v>
      </c>
      <c r="D294" s="21">
        <v>100.2</v>
      </c>
      <c r="E294" s="21">
        <v>466.3</v>
      </c>
      <c r="F294" s="21">
        <v>6.3</v>
      </c>
      <c r="G294" s="21">
        <v>22.9</v>
      </c>
      <c r="H294" s="21" t="s">
        <v>117</v>
      </c>
      <c r="I294" s="21"/>
      <c r="J294" s="21"/>
      <c r="K294" s="18"/>
    </row>
    <row r="295" spans="1:11">
      <c r="A295" s="2" t="s">
        <v>146</v>
      </c>
      <c r="B295" s="20" t="s">
        <v>95</v>
      </c>
      <c r="C295" s="21">
        <v>93.1</v>
      </c>
      <c r="D295" s="21">
        <v>180.4</v>
      </c>
      <c r="E295" s="21">
        <v>430.8</v>
      </c>
      <c r="F295" s="21" t="s">
        <v>150</v>
      </c>
      <c r="G295" s="21">
        <v>26.9</v>
      </c>
      <c r="H295" s="21" t="s">
        <v>182</v>
      </c>
      <c r="I295" s="21"/>
      <c r="J295" s="21"/>
      <c r="K295" s="18"/>
    </row>
    <row r="296" spans="1:11">
      <c r="A296" s="2" t="s">
        <v>146</v>
      </c>
      <c r="B296" s="20" t="s">
        <v>95</v>
      </c>
      <c r="C296" s="21">
        <v>92.3</v>
      </c>
      <c r="D296" s="21">
        <v>88.8</v>
      </c>
      <c r="E296" s="21">
        <v>440.9</v>
      </c>
      <c r="F296" s="21">
        <v>8.5</v>
      </c>
      <c r="G296" s="21">
        <v>17.100000000000001</v>
      </c>
      <c r="H296" s="21" t="s">
        <v>184</v>
      </c>
      <c r="I296" s="21"/>
      <c r="J296" s="21"/>
      <c r="K296" s="18"/>
    </row>
    <row r="297" spans="1:11">
      <c r="A297" s="2" t="s">
        <v>131</v>
      </c>
      <c r="B297" s="20" t="s">
        <v>104</v>
      </c>
      <c r="C297" s="21">
        <v>93.1</v>
      </c>
      <c r="D297" s="21">
        <v>180.4</v>
      </c>
      <c r="E297" s="21">
        <v>430.8</v>
      </c>
      <c r="F297" s="21" t="s">
        <v>150</v>
      </c>
      <c r="G297" s="21">
        <v>22.2</v>
      </c>
      <c r="H297" s="21" t="s">
        <v>139</v>
      </c>
      <c r="I297" s="21"/>
      <c r="J297" s="21"/>
      <c r="K297" s="18"/>
    </row>
    <row r="298" spans="1:11">
      <c r="A298" s="2" t="s">
        <v>131</v>
      </c>
      <c r="B298" s="20" t="s">
        <v>104</v>
      </c>
      <c r="C298" s="21">
        <v>90.4</v>
      </c>
      <c r="D298" s="21">
        <v>89.5</v>
      </c>
      <c r="E298" s="21">
        <v>290.8</v>
      </c>
      <c r="F298" s="21">
        <v>6.4</v>
      </c>
      <c r="G298" s="21">
        <v>14.3</v>
      </c>
      <c r="H298" s="21" t="s">
        <v>154</v>
      </c>
      <c r="I298" s="21"/>
      <c r="J298" s="21"/>
      <c r="K298" s="18"/>
    </row>
    <row r="299" spans="1:11">
      <c r="A299" s="2" t="s">
        <v>131</v>
      </c>
      <c r="B299" s="20" t="s">
        <v>104</v>
      </c>
      <c r="C299" s="21">
        <v>90.4</v>
      </c>
      <c r="D299" s="21">
        <v>89.5</v>
      </c>
      <c r="E299" s="21">
        <v>290.8</v>
      </c>
      <c r="F299" s="21">
        <v>6.4</v>
      </c>
      <c r="G299" s="21">
        <v>15.4</v>
      </c>
      <c r="H299" s="21" t="s">
        <v>157</v>
      </c>
      <c r="I299" s="21"/>
      <c r="J299" s="21"/>
      <c r="K299" s="18"/>
    </row>
    <row r="300" spans="1:11">
      <c r="A300" s="2" t="s">
        <v>131</v>
      </c>
      <c r="B300" s="20" t="s">
        <v>124</v>
      </c>
      <c r="C300" s="21">
        <v>91.2</v>
      </c>
      <c r="D300" s="21">
        <v>147.80000000000001</v>
      </c>
      <c r="E300" s="21">
        <v>377.2</v>
      </c>
      <c r="F300" s="21">
        <v>12.7</v>
      </c>
      <c r="G300" s="21">
        <v>19.600000000000001</v>
      </c>
      <c r="H300" s="21" t="s">
        <v>133</v>
      </c>
      <c r="I300" s="21"/>
      <c r="J300" s="21"/>
      <c r="K300" s="18"/>
    </row>
    <row r="301" spans="1:11">
      <c r="A301" s="2" t="s">
        <v>131</v>
      </c>
      <c r="B301" s="20" t="s">
        <v>99</v>
      </c>
      <c r="C301" s="21">
        <v>53.4</v>
      </c>
      <c r="D301" s="21" t="s">
        <v>201</v>
      </c>
      <c r="E301" s="21">
        <v>233.8</v>
      </c>
      <c r="F301" s="21">
        <v>0.4</v>
      </c>
      <c r="G301" s="21">
        <v>10.6</v>
      </c>
      <c r="H301" s="21" t="s">
        <v>145</v>
      </c>
      <c r="I301" s="21"/>
      <c r="J301" s="21"/>
      <c r="K301" s="18"/>
    </row>
    <row r="302" spans="1:11">
      <c r="A302" s="2" t="s">
        <v>131</v>
      </c>
      <c r="B302" s="20" t="s">
        <v>109</v>
      </c>
      <c r="C302" s="21">
        <v>90.4</v>
      </c>
      <c r="D302" s="21">
        <v>93.3</v>
      </c>
      <c r="E302" s="21">
        <v>298.10000000000002</v>
      </c>
      <c r="F302" s="21">
        <v>7.5</v>
      </c>
      <c r="G302" s="21">
        <v>20.7</v>
      </c>
      <c r="H302" s="21" t="s">
        <v>165</v>
      </c>
      <c r="I302" s="21"/>
      <c r="J302" s="21"/>
      <c r="K302" s="18"/>
    </row>
    <row r="303" spans="1:11">
      <c r="A303" s="2" t="s">
        <v>131</v>
      </c>
      <c r="B303" s="20" t="s">
        <v>109</v>
      </c>
      <c r="C303" s="21">
        <v>90.4</v>
      </c>
      <c r="D303" s="21">
        <v>93.3</v>
      </c>
      <c r="E303" s="21">
        <v>298.10000000000002</v>
      </c>
      <c r="F303" s="21">
        <v>7.5</v>
      </c>
      <c r="G303" s="21">
        <v>19.100000000000001</v>
      </c>
      <c r="H303" s="21" t="s">
        <v>141</v>
      </c>
      <c r="I303" s="21"/>
      <c r="J303" s="21"/>
      <c r="K303" s="18"/>
    </row>
    <row r="304" spans="1:11">
      <c r="A304" s="2" t="s">
        <v>131</v>
      </c>
      <c r="B304" s="20" t="s">
        <v>91</v>
      </c>
      <c r="C304" s="21">
        <v>91.1</v>
      </c>
      <c r="D304" s="21">
        <v>94.1</v>
      </c>
      <c r="E304" s="21">
        <v>232.1</v>
      </c>
      <c r="F304" s="21">
        <v>7.1</v>
      </c>
      <c r="G304" s="21">
        <v>19.2</v>
      </c>
      <c r="H304" s="21" t="s">
        <v>119</v>
      </c>
      <c r="I304" s="21"/>
      <c r="J304" s="21"/>
      <c r="K304" s="18"/>
    </row>
    <row r="305" spans="1:11">
      <c r="A305" s="2" t="s">
        <v>131</v>
      </c>
      <c r="B305" s="20" t="s">
        <v>91</v>
      </c>
      <c r="C305" s="21">
        <v>91.1</v>
      </c>
      <c r="D305" s="21">
        <v>94.1</v>
      </c>
      <c r="E305" s="21">
        <v>232.1</v>
      </c>
      <c r="F305" s="21">
        <v>7.1</v>
      </c>
      <c r="G305" s="21">
        <v>19.2</v>
      </c>
      <c r="H305" s="21" t="s">
        <v>119</v>
      </c>
      <c r="I305" s="21"/>
      <c r="J305" s="21"/>
      <c r="K305" s="18"/>
    </row>
    <row r="306" spans="1:11">
      <c r="A306" s="2" t="s">
        <v>202</v>
      </c>
      <c r="B306" s="20" t="s">
        <v>99</v>
      </c>
      <c r="C306" s="21">
        <v>85.1</v>
      </c>
      <c r="D306" s="21" t="s">
        <v>182</v>
      </c>
      <c r="E306" s="21">
        <v>113.8</v>
      </c>
      <c r="F306" s="21">
        <v>3.5</v>
      </c>
      <c r="G306" s="21">
        <v>11.3</v>
      </c>
      <c r="H306" s="21" t="s">
        <v>203</v>
      </c>
      <c r="I306" s="21"/>
      <c r="J306" s="21"/>
      <c r="K306" s="18"/>
    </row>
    <row r="307" spans="1:11">
      <c r="A307" s="2" t="s">
        <v>113</v>
      </c>
      <c r="B307" s="20" t="s">
        <v>104</v>
      </c>
      <c r="C307" s="21">
        <v>89.6</v>
      </c>
      <c r="D307" s="21">
        <v>84.1</v>
      </c>
      <c r="E307" s="21">
        <v>714.3</v>
      </c>
      <c r="F307" s="21">
        <v>5.7</v>
      </c>
      <c r="G307" s="21" t="s">
        <v>137</v>
      </c>
      <c r="H307" s="21" t="s">
        <v>176</v>
      </c>
      <c r="I307" s="21"/>
      <c r="J307" s="21"/>
      <c r="K307" s="18"/>
    </row>
    <row r="308" spans="1:11">
      <c r="A308" s="2" t="s">
        <v>113</v>
      </c>
      <c r="B308" s="20" t="s">
        <v>104</v>
      </c>
      <c r="C308" s="21">
        <v>89.6</v>
      </c>
      <c r="D308" s="21">
        <v>84.1</v>
      </c>
      <c r="E308" s="21">
        <v>714.3</v>
      </c>
      <c r="F308" s="21">
        <v>5.7</v>
      </c>
      <c r="G308" s="21">
        <v>17.100000000000001</v>
      </c>
      <c r="H308" s="21" t="s">
        <v>181</v>
      </c>
      <c r="I308" s="21"/>
      <c r="J308" s="21"/>
      <c r="K308" s="18"/>
    </row>
    <row r="309" spans="1:11">
      <c r="A309" s="2" t="s">
        <v>113</v>
      </c>
      <c r="B309" s="20" t="s">
        <v>104</v>
      </c>
      <c r="C309" s="21">
        <v>89.6</v>
      </c>
      <c r="D309" s="21">
        <v>84.1</v>
      </c>
      <c r="E309" s="21">
        <v>714.3</v>
      </c>
      <c r="F309" s="21">
        <v>5.7</v>
      </c>
      <c r="G309" s="21">
        <v>23.8</v>
      </c>
      <c r="H309" s="21" t="s">
        <v>129</v>
      </c>
      <c r="I309" s="21"/>
      <c r="J309" s="21"/>
      <c r="K309" s="18"/>
    </row>
    <row r="310" spans="1:11">
      <c r="A310" s="2" t="s">
        <v>113</v>
      </c>
      <c r="B310" s="20" t="s">
        <v>104</v>
      </c>
      <c r="C310" s="21">
        <v>92.4</v>
      </c>
      <c r="D310" s="21">
        <v>105.8</v>
      </c>
      <c r="E310" s="21">
        <v>758.1</v>
      </c>
      <c r="F310" s="21">
        <v>9.9</v>
      </c>
      <c r="G310" s="21" t="s">
        <v>204</v>
      </c>
      <c r="H310" s="21" t="s">
        <v>157</v>
      </c>
      <c r="I310" s="21"/>
      <c r="J310" s="21"/>
      <c r="K310" s="18"/>
    </row>
    <row r="311" spans="1:11">
      <c r="A311" s="2" t="s">
        <v>113</v>
      </c>
      <c r="B311" s="20" t="s">
        <v>104</v>
      </c>
      <c r="C311" s="21">
        <v>92.4</v>
      </c>
      <c r="D311" s="21">
        <v>105.8</v>
      </c>
      <c r="E311" s="21">
        <v>758.1</v>
      </c>
      <c r="F311" s="21">
        <v>9.9</v>
      </c>
      <c r="G311" s="21">
        <v>24.9</v>
      </c>
      <c r="H311" s="21" t="s">
        <v>110</v>
      </c>
      <c r="I311" s="21"/>
      <c r="J311" s="21"/>
      <c r="K311" s="18"/>
    </row>
    <row r="312" spans="1:11">
      <c r="A312" s="2" t="s">
        <v>113</v>
      </c>
      <c r="B312" s="20" t="s">
        <v>104</v>
      </c>
      <c r="C312" s="21">
        <v>92.4</v>
      </c>
      <c r="D312" s="21">
        <v>105.8</v>
      </c>
      <c r="E312" s="21">
        <v>758.1</v>
      </c>
      <c r="F312" s="21">
        <v>9.9</v>
      </c>
      <c r="G312" s="21">
        <v>25.3</v>
      </c>
      <c r="H312" s="21" t="s">
        <v>110</v>
      </c>
      <c r="I312" s="21"/>
      <c r="J312" s="21"/>
      <c r="K312" s="18"/>
    </row>
    <row r="313" spans="1:11">
      <c r="A313" s="2" t="s">
        <v>113</v>
      </c>
      <c r="B313" s="20" t="s">
        <v>104</v>
      </c>
      <c r="C313" s="21">
        <v>92.4</v>
      </c>
      <c r="D313" s="21">
        <v>105.8</v>
      </c>
      <c r="E313" s="21">
        <v>758.1</v>
      </c>
      <c r="F313" s="21">
        <v>9.9</v>
      </c>
      <c r="G313" s="21">
        <v>24.8</v>
      </c>
      <c r="H313" s="21" t="s">
        <v>182</v>
      </c>
      <c r="I313" s="21"/>
      <c r="J313" s="21"/>
      <c r="K313" s="18"/>
    </row>
    <row r="314" spans="1:11">
      <c r="A314" s="2" t="s">
        <v>113</v>
      </c>
      <c r="B314" s="20" t="s">
        <v>104</v>
      </c>
      <c r="C314" s="21">
        <v>50.4</v>
      </c>
      <c r="D314" s="21">
        <v>46.2</v>
      </c>
      <c r="E314" s="21">
        <v>706.6</v>
      </c>
      <c r="F314" s="21">
        <v>0.4</v>
      </c>
      <c r="G314" s="21">
        <v>12.2</v>
      </c>
      <c r="H314" s="21" t="s">
        <v>142</v>
      </c>
      <c r="I314" s="21"/>
      <c r="J314" s="21"/>
      <c r="K314" s="18"/>
    </row>
    <row r="315" spans="1:11">
      <c r="A315" s="2" t="s">
        <v>113</v>
      </c>
      <c r="B315" s="20" t="s">
        <v>124</v>
      </c>
      <c r="C315" s="21">
        <v>92.6</v>
      </c>
      <c r="D315" s="21">
        <v>115.4</v>
      </c>
      <c r="E315" s="21">
        <v>777.1</v>
      </c>
      <c r="F315" s="21">
        <v>8.8000000000000007</v>
      </c>
      <c r="G315" s="21">
        <v>24.3</v>
      </c>
      <c r="H315" s="21" t="s">
        <v>110</v>
      </c>
      <c r="I315" s="21"/>
      <c r="J315" s="21"/>
      <c r="K315" s="18"/>
    </row>
    <row r="316" spans="1:11">
      <c r="A316" s="2" t="s">
        <v>113</v>
      </c>
      <c r="B316" s="20" t="s">
        <v>124</v>
      </c>
      <c r="C316" s="21">
        <v>92.6</v>
      </c>
      <c r="D316" s="21">
        <v>115.4</v>
      </c>
      <c r="E316" s="21">
        <v>777.1</v>
      </c>
      <c r="F316" s="21">
        <v>8.8000000000000007</v>
      </c>
      <c r="G316" s="21">
        <v>19.7</v>
      </c>
      <c r="H316" s="21" t="s">
        <v>183</v>
      </c>
      <c r="I316" s="21"/>
      <c r="J316" s="21"/>
      <c r="K316" s="18"/>
    </row>
    <row r="317" spans="1:11">
      <c r="A317" s="2" t="s">
        <v>113</v>
      </c>
      <c r="B317" s="20" t="s">
        <v>124</v>
      </c>
      <c r="C317" s="21">
        <v>91.2</v>
      </c>
      <c r="D317" s="21">
        <v>134.69999999999999</v>
      </c>
      <c r="E317" s="21">
        <v>817.5</v>
      </c>
      <c r="F317" s="21">
        <v>7.2</v>
      </c>
      <c r="G317" s="21">
        <v>18.5</v>
      </c>
      <c r="H317" s="21" t="s">
        <v>166</v>
      </c>
      <c r="I317" s="21"/>
      <c r="J317" s="21"/>
      <c r="K317" s="18"/>
    </row>
    <row r="318" spans="1:11">
      <c r="A318" s="2" t="s">
        <v>113</v>
      </c>
      <c r="B318" s="20" t="s">
        <v>155</v>
      </c>
      <c r="C318" s="21">
        <v>92.4</v>
      </c>
      <c r="D318" s="21">
        <v>96.2</v>
      </c>
      <c r="E318" s="21">
        <v>739.4</v>
      </c>
      <c r="F318" s="21">
        <v>8.6</v>
      </c>
      <c r="G318" s="21">
        <v>18.600000000000001</v>
      </c>
      <c r="H318" s="21" t="s">
        <v>140</v>
      </c>
      <c r="I318" s="21"/>
      <c r="J318" s="21"/>
      <c r="K318" s="18"/>
    </row>
    <row r="319" spans="1:11">
      <c r="A319" s="2" t="s">
        <v>113</v>
      </c>
      <c r="B319" s="20" t="s">
        <v>155</v>
      </c>
      <c r="C319" s="21">
        <v>92.4</v>
      </c>
      <c r="D319" s="21">
        <v>96.2</v>
      </c>
      <c r="E319" s="21">
        <v>739.4</v>
      </c>
      <c r="F319" s="21">
        <v>8.6</v>
      </c>
      <c r="G319" s="21">
        <v>19.2</v>
      </c>
      <c r="H319" s="21" t="s">
        <v>140</v>
      </c>
      <c r="I319" s="21"/>
      <c r="J319" s="21"/>
      <c r="K319" s="18"/>
    </row>
    <row r="320" spans="1:11">
      <c r="A320" s="2" t="s">
        <v>113</v>
      </c>
      <c r="B320" s="20" t="s">
        <v>155</v>
      </c>
      <c r="C320" s="21">
        <v>92.8</v>
      </c>
      <c r="D320" s="21" t="s">
        <v>205</v>
      </c>
      <c r="E320" s="21">
        <v>783.5</v>
      </c>
      <c r="F320" s="21">
        <v>7.5</v>
      </c>
      <c r="G320" s="21">
        <v>21.6</v>
      </c>
      <c r="H320" s="21" t="s">
        <v>110</v>
      </c>
      <c r="I320" s="21"/>
      <c r="J320" s="21"/>
      <c r="K320" s="18"/>
    </row>
    <row r="321" spans="1:11">
      <c r="A321" s="2" t="s">
        <v>113</v>
      </c>
      <c r="B321" s="20" t="s">
        <v>155</v>
      </c>
      <c r="C321" s="21">
        <v>92.8</v>
      </c>
      <c r="D321" s="21" t="s">
        <v>205</v>
      </c>
      <c r="E321" s="21">
        <v>783.5</v>
      </c>
      <c r="F321" s="21">
        <v>7.5</v>
      </c>
      <c r="G321" s="21">
        <v>21.6</v>
      </c>
      <c r="H321" s="21" t="s">
        <v>182</v>
      </c>
      <c r="I321" s="21"/>
      <c r="J321" s="21"/>
      <c r="K321" s="18"/>
    </row>
    <row r="322" spans="1:11">
      <c r="A322" s="2" t="s">
        <v>113</v>
      </c>
      <c r="B322" s="20" t="s">
        <v>155</v>
      </c>
      <c r="C322" s="21">
        <v>92.8</v>
      </c>
      <c r="D322" s="21" t="s">
        <v>205</v>
      </c>
      <c r="E322" s="21">
        <v>783.5</v>
      </c>
      <c r="F322" s="21">
        <v>7.5</v>
      </c>
      <c r="G322" s="21">
        <v>18.899999999999999</v>
      </c>
      <c r="H322" s="21" t="s">
        <v>138</v>
      </c>
      <c r="I322" s="21"/>
      <c r="J322" s="21"/>
      <c r="K322" s="18"/>
    </row>
    <row r="323" spans="1:11">
      <c r="A323" s="2" t="s">
        <v>113</v>
      </c>
      <c r="B323" s="20" t="s">
        <v>155</v>
      </c>
      <c r="C323" s="21">
        <v>92.8</v>
      </c>
      <c r="D323" s="21" t="s">
        <v>205</v>
      </c>
      <c r="E323" s="21">
        <v>783.5</v>
      </c>
      <c r="F323" s="21">
        <v>7.5</v>
      </c>
      <c r="G323" s="21">
        <v>16.8</v>
      </c>
      <c r="H323" s="21" t="s">
        <v>182</v>
      </c>
      <c r="I323" s="21"/>
      <c r="J323" s="21"/>
      <c r="K323" s="18"/>
    </row>
    <row r="324" spans="1:11">
      <c r="A324" s="2" t="s">
        <v>113</v>
      </c>
      <c r="B324" s="20" t="s">
        <v>155</v>
      </c>
      <c r="C324" s="21">
        <v>92.8</v>
      </c>
      <c r="D324" s="21" t="s">
        <v>205</v>
      </c>
      <c r="E324" s="21">
        <v>783.5</v>
      </c>
      <c r="F324" s="21">
        <v>7.5</v>
      </c>
      <c r="G324" s="21">
        <v>16.8</v>
      </c>
      <c r="H324" s="21" t="s">
        <v>182</v>
      </c>
      <c r="I324" s="21"/>
      <c r="J324" s="21"/>
      <c r="K324" s="18"/>
    </row>
    <row r="325" spans="1:11">
      <c r="A325" s="2" t="s">
        <v>113</v>
      </c>
      <c r="B325" s="20" t="s">
        <v>155</v>
      </c>
      <c r="C325" s="21">
        <v>90.7</v>
      </c>
      <c r="D325" s="21">
        <v>136.9</v>
      </c>
      <c r="E325" s="21">
        <v>822.8</v>
      </c>
      <c r="F325" s="21">
        <v>6.8</v>
      </c>
      <c r="G325" s="21">
        <v>12.9</v>
      </c>
      <c r="H325" s="21" t="s">
        <v>141</v>
      </c>
      <c r="I325" s="21"/>
      <c r="J325" s="21"/>
      <c r="K325" s="18"/>
    </row>
    <row r="326" spans="1:11">
      <c r="A326" s="2" t="s">
        <v>113</v>
      </c>
      <c r="B326" s="20" t="s">
        <v>155</v>
      </c>
      <c r="C326" s="21">
        <v>88.1</v>
      </c>
      <c r="D326" s="21">
        <v>53.3</v>
      </c>
      <c r="E326" s="21">
        <v>726.9</v>
      </c>
      <c r="F326" s="21">
        <v>5.4</v>
      </c>
      <c r="G326" s="21">
        <v>13.7</v>
      </c>
      <c r="H326" s="21" t="s">
        <v>177</v>
      </c>
      <c r="I326" s="21"/>
      <c r="J326" s="21"/>
      <c r="K326" s="18"/>
    </row>
    <row r="327" spans="1:11">
      <c r="A327" s="2" t="s">
        <v>113</v>
      </c>
      <c r="B327" s="20" t="s">
        <v>99</v>
      </c>
      <c r="C327" s="21">
        <v>92.2</v>
      </c>
      <c r="D327" s="21">
        <v>102.3</v>
      </c>
      <c r="E327" s="21">
        <v>751.5</v>
      </c>
      <c r="F327" s="21">
        <v>8.4</v>
      </c>
      <c r="G327" s="21">
        <v>24.2</v>
      </c>
      <c r="H327" s="21" t="s">
        <v>110</v>
      </c>
      <c r="I327" s="21"/>
      <c r="J327" s="21"/>
      <c r="K327" s="18"/>
    </row>
    <row r="328" spans="1:11">
      <c r="A328" s="2" t="s">
        <v>113</v>
      </c>
      <c r="B328" s="20" t="s">
        <v>99</v>
      </c>
      <c r="C328" s="21">
        <v>92.2</v>
      </c>
      <c r="D328" s="21">
        <v>102.3</v>
      </c>
      <c r="E328" s="21">
        <v>751.5</v>
      </c>
      <c r="F328" s="21">
        <v>8.4</v>
      </c>
      <c r="G328" s="21">
        <v>24.1</v>
      </c>
      <c r="H328" s="21" t="s">
        <v>110</v>
      </c>
      <c r="I328" s="21"/>
      <c r="J328" s="21"/>
      <c r="K328" s="18"/>
    </row>
    <row r="329" spans="1:11">
      <c r="A329" s="2" t="s">
        <v>113</v>
      </c>
      <c r="B329" s="20" t="s">
        <v>99</v>
      </c>
      <c r="C329" s="21">
        <v>92.2</v>
      </c>
      <c r="D329" s="21">
        <v>102.3</v>
      </c>
      <c r="E329" s="21">
        <v>751.5</v>
      </c>
      <c r="F329" s="21">
        <v>8.4</v>
      </c>
      <c r="G329" s="21">
        <v>21.2</v>
      </c>
      <c r="H329" s="21" t="s">
        <v>134</v>
      </c>
      <c r="I329" s="21"/>
      <c r="J329" s="21"/>
      <c r="K329" s="18"/>
    </row>
    <row r="330" spans="1:11">
      <c r="A330" s="2" t="s">
        <v>113</v>
      </c>
      <c r="B330" s="20" t="s">
        <v>99</v>
      </c>
      <c r="C330" s="21">
        <v>92.2</v>
      </c>
      <c r="D330" s="21">
        <v>102.3</v>
      </c>
      <c r="E330" s="21">
        <v>751.5</v>
      </c>
      <c r="F330" s="21">
        <v>8.4</v>
      </c>
      <c r="G330" s="21">
        <v>19.7</v>
      </c>
      <c r="H330" s="21" t="s">
        <v>129</v>
      </c>
      <c r="I330" s="21"/>
      <c r="J330" s="21"/>
      <c r="K330" s="18"/>
    </row>
    <row r="331" spans="1:11">
      <c r="A331" s="2" t="s">
        <v>113</v>
      </c>
      <c r="B331" s="20" t="s">
        <v>99</v>
      </c>
      <c r="C331" s="21">
        <v>92.2</v>
      </c>
      <c r="D331" s="21">
        <v>102.3</v>
      </c>
      <c r="E331" s="21">
        <v>751.5</v>
      </c>
      <c r="F331" s="21">
        <v>8.4</v>
      </c>
      <c r="G331" s="21">
        <v>23.5</v>
      </c>
      <c r="H331" s="21" t="s">
        <v>110</v>
      </c>
      <c r="I331" s="21"/>
      <c r="J331" s="21"/>
      <c r="K331" s="18"/>
    </row>
    <row r="332" spans="1:11">
      <c r="A332" s="2" t="s">
        <v>113</v>
      </c>
      <c r="B332" s="20" t="s">
        <v>99</v>
      </c>
      <c r="C332" s="21">
        <v>92.2</v>
      </c>
      <c r="D332" s="21">
        <v>102.3</v>
      </c>
      <c r="E332" s="21">
        <v>751.5</v>
      </c>
      <c r="F332" s="21">
        <v>8.4</v>
      </c>
      <c r="G332" s="21">
        <v>24.2</v>
      </c>
      <c r="H332" s="21" t="s">
        <v>110</v>
      </c>
      <c r="I332" s="21"/>
      <c r="J332" s="21"/>
      <c r="K332" s="18"/>
    </row>
    <row r="333" spans="1:11">
      <c r="A333" s="2" t="s">
        <v>113</v>
      </c>
      <c r="B333" s="20" t="s">
        <v>99</v>
      </c>
      <c r="C333" s="21">
        <v>91.2</v>
      </c>
      <c r="D333" s="21">
        <v>124.4</v>
      </c>
      <c r="E333" s="21">
        <v>795.3</v>
      </c>
      <c r="F333" s="21">
        <v>8.5</v>
      </c>
      <c r="G333" s="21">
        <v>21.5</v>
      </c>
      <c r="H333" s="21" t="s">
        <v>182</v>
      </c>
      <c r="I333" s="21"/>
      <c r="J333" s="21"/>
      <c r="K333" s="18"/>
    </row>
    <row r="334" spans="1:11">
      <c r="A334" s="2" t="s">
        <v>113</v>
      </c>
      <c r="B334" s="20" t="s">
        <v>99</v>
      </c>
      <c r="C334" s="21">
        <v>91.2</v>
      </c>
      <c r="D334" s="21">
        <v>124.4</v>
      </c>
      <c r="E334" s="21">
        <v>795.3</v>
      </c>
      <c r="F334" s="21">
        <v>8.5</v>
      </c>
      <c r="G334" s="21">
        <v>17.100000000000001</v>
      </c>
      <c r="H334" s="21" t="s">
        <v>183</v>
      </c>
      <c r="I334" s="21"/>
      <c r="J334" s="21"/>
      <c r="K334" s="18"/>
    </row>
    <row r="335" spans="1:11">
      <c r="A335" s="2" t="s">
        <v>113</v>
      </c>
      <c r="B335" s="20" t="s">
        <v>109</v>
      </c>
      <c r="C335" s="21">
        <v>92.1</v>
      </c>
      <c r="D335" s="21">
        <v>87.7</v>
      </c>
      <c r="E335" s="21">
        <v>721.1</v>
      </c>
      <c r="F335" s="21">
        <v>9.5</v>
      </c>
      <c r="G335" s="21">
        <v>18.100000000000001</v>
      </c>
      <c r="H335" s="21" t="s">
        <v>147</v>
      </c>
      <c r="I335" s="21"/>
      <c r="J335" s="21"/>
      <c r="K335" s="18"/>
    </row>
    <row r="336" spans="1:11">
      <c r="A336" s="2" t="s">
        <v>113</v>
      </c>
      <c r="B336" s="20" t="s">
        <v>109</v>
      </c>
      <c r="C336" s="21">
        <v>91.6</v>
      </c>
      <c r="D336" s="21">
        <v>108.4</v>
      </c>
      <c r="E336" s="21" t="s">
        <v>206</v>
      </c>
      <c r="F336" s="21">
        <v>6.2</v>
      </c>
      <c r="G336" s="21" t="s">
        <v>96</v>
      </c>
      <c r="H336" s="21" t="s">
        <v>92</v>
      </c>
      <c r="I336" s="21"/>
      <c r="J336" s="21"/>
      <c r="K336" s="18"/>
    </row>
    <row r="337" spans="1:11">
      <c r="A337" s="2" t="s">
        <v>113</v>
      </c>
      <c r="B337" s="20" t="s">
        <v>109</v>
      </c>
      <c r="C337" s="21">
        <v>91.6</v>
      </c>
      <c r="D337" s="21">
        <v>108.4</v>
      </c>
      <c r="E337" s="21" t="s">
        <v>206</v>
      </c>
      <c r="F337" s="21">
        <v>6.2</v>
      </c>
      <c r="G337" s="21">
        <v>9.8000000000000007</v>
      </c>
      <c r="H337" s="21" t="s">
        <v>112</v>
      </c>
      <c r="I337" s="21"/>
      <c r="J337" s="21"/>
      <c r="K337" s="18"/>
    </row>
    <row r="338" spans="1:11">
      <c r="A338" s="2" t="s">
        <v>113</v>
      </c>
      <c r="B338" s="20" t="s">
        <v>109</v>
      </c>
      <c r="C338" s="21">
        <v>91.6</v>
      </c>
      <c r="D338" s="21">
        <v>108.4</v>
      </c>
      <c r="E338" s="21" t="s">
        <v>206</v>
      </c>
      <c r="F338" s="21">
        <v>6.2</v>
      </c>
      <c r="G338" s="21">
        <v>19.3</v>
      </c>
      <c r="H338" s="21" t="s">
        <v>126</v>
      </c>
      <c r="I338" s="21"/>
      <c r="J338" s="21"/>
      <c r="K338" s="18"/>
    </row>
    <row r="339" spans="1:11">
      <c r="A339" s="2" t="s">
        <v>113</v>
      </c>
      <c r="B339" s="20" t="s">
        <v>109</v>
      </c>
      <c r="C339" s="21">
        <v>91.6</v>
      </c>
      <c r="D339" s="21">
        <v>108.4</v>
      </c>
      <c r="E339" s="21" t="s">
        <v>206</v>
      </c>
      <c r="F339" s="21">
        <v>6.2</v>
      </c>
      <c r="G339" s="21" t="s">
        <v>151</v>
      </c>
      <c r="H339" s="21" t="s">
        <v>138</v>
      </c>
      <c r="I339" s="21"/>
      <c r="J339" s="21"/>
      <c r="K339" s="18"/>
    </row>
    <row r="340" spans="1:11">
      <c r="A340" s="2" t="s">
        <v>113</v>
      </c>
      <c r="B340" s="20" t="s">
        <v>109</v>
      </c>
      <c r="C340" s="21">
        <v>91.6</v>
      </c>
      <c r="D340" s="21">
        <v>108.4</v>
      </c>
      <c r="E340" s="21" t="s">
        <v>206</v>
      </c>
      <c r="F340" s="21">
        <v>6.2</v>
      </c>
      <c r="G340" s="21">
        <v>22.7</v>
      </c>
      <c r="H340" s="21" t="s">
        <v>129</v>
      </c>
      <c r="I340" s="21"/>
      <c r="J340" s="21"/>
      <c r="K340" s="18"/>
    </row>
    <row r="341" spans="1:11">
      <c r="A341" s="2" t="s">
        <v>113</v>
      </c>
      <c r="B341" s="20" t="s">
        <v>109</v>
      </c>
      <c r="C341" s="21">
        <v>91.6</v>
      </c>
      <c r="D341" s="21">
        <v>108.4</v>
      </c>
      <c r="E341" s="21" t="s">
        <v>206</v>
      </c>
      <c r="F341" s="21">
        <v>6.2</v>
      </c>
      <c r="G341" s="21">
        <v>20.399999999999999</v>
      </c>
      <c r="H341" s="21" t="s">
        <v>183</v>
      </c>
      <c r="I341" s="21"/>
      <c r="J341" s="21"/>
      <c r="K341" s="18"/>
    </row>
    <row r="342" spans="1:11">
      <c r="A342" s="2" t="s">
        <v>113</v>
      </c>
      <c r="B342" s="20" t="s">
        <v>109</v>
      </c>
      <c r="C342" s="21">
        <v>91.6</v>
      </c>
      <c r="D342" s="21">
        <v>108.4</v>
      </c>
      <c r="E342" s="21" t="s">
        <v>206</v>
      </c>
      <c r="F342" s="21">
        <v>6.2</v>
      </c>
      <c r="G342" s="21">
        <v>19.3</v>
      </c>
      <c r="H342" s="21" t="s">
        <v>126</v>
      </c>
      <c r="I342" s="21"/>
      <c r="J342" s="21"/>
      <c r="K342" s="18"/>
    </row>
    <row r="343" spans="1:11">
      <c r="A343" s="2" t="s">
        <v>113</v>
      </c>
      <c r="B343" s="20" t="s">
        <v>109</v>
      </c>
      <c r="C343" s="21">
        <v>91.9</v>
      </c>
      <c r="D343" s="21">
        <v>111.7</v>
      </c>
      <c r="E343" s="21">
        <v>770.3</v>
      </c>
      <c r="F343" s="21">
        <v>6.5</v>
      </c>
      <c r="G343" s="21">
        <v>15.7</v>
      </c>
      <c r="H343" s="21" t="s">
        <v>92</v>
      </c>
      <c r="I343" s="21"/>
      <c r="J343" s="21"/>
      <c r="K343" s="18"/>
    </row>
    <row r="344" spans="1:11">
      <c r="A344" s="2" t="s">
        <v>113</v>
      </c>
      <c r="B344" s="20" t="s">
        <v>109</v>
      </c>
      <c r="C344" s="21">
        <v>91.5</v>
      </c>
      <c r="D344" s="21">
        <v>130.1</v>
      </c>
      <c r="E344" s="21">
        <v>807.1</v>
      </c>
      <c r="F344" s="21">
        <v>7.5</v>
      </c>
      <c r="G344" s="21">
        <v>20.6</v>
      </c>
      <c r="H344" s="21" t="s">
        <v>143</v>
      </c>
      <c r="I344" s="21"/>
      <c r="J344" s="21"/>
      <c r="K344" s="18"/>
    </row>
    <row r="345" spans="1:11">
      <c r="A345" s="2" t="s">
        <v>113</v>
      </c>
      <c r="B345" s="20" t="s">
        <v>109</v>
      </c>
      <c r="C345" s="21">
        <v>91.5</v>
      </c>
      <c r="D345" s="21">
        <v>130.1</v>
      </c>
      <c r="E345" s="21">
        <v>807.1</v>
      </c>
      <c r="F345" s="21">
        <v>7.5</v>
      </c>
      <c r="G345" s="21">
        <v>15.9</v>
      </c>
      <c r="H345" s="21" t="s">
        <v>92</v>
      </c>
      <c r="I345" s="21"/>
      <c r="J345" s="21"/>
      <c r="K345" s="18"/>
    </row>
    <row r="346" spans="1:11">
      <c r="A346" s="2" t="s">
        <v>113</v>
      </c>
      <c r="B346" s="20" t="s">
        <v>109</v>
      </c>
      <c r="C346" s="21">
        <v>91.5</v>
      </c>
      <c r="D346" s="21">
        <v>130.1</v>
      </c>
      <c r="E346" s="21">
        <v>807.1</v>
      </c>
      <c r="F346" s="21">
        <v>7.5</v>
      </c>
      <c r="G346" s="21">
        <v>12.2</v>
      </c>
      <c r="H346" s="21" t="s">
        <v>169</v>
      </c>
      <c r="I346" s="21"/>
      <c r="J346" s="21"/>
      <c r="K346" s="18"/>
    </row>
    <row r="347" spans="1:11">
      <c r="A347" s="2" t="s">
        <v>113</v>
      </c>
      <c r="B347" s="20" t="s">
        <v>109</v>
      </c>
      <c r="C347" s="21">
        <v>91.5</v>
      </c>
      <c r="D347" s="21">
        <v>130.1</v>
      </c>
      <c r="E347" s="21">
        <v>807.1</v>
      </c>
      <c r="F347" s="21">
        <v>7.5</v>
      </c>
      <c r="G347" s="21">
        <v>16.8</v>
      </c>
      <c r="H347" s="21" t="s">
        <v>133</v>
      </c>
      <c r="I347" s="21"/>
      <c r="J347" s="21"/>
      <c r="K347" s="18"/>
    </row>
    <row r="348" spans="1:11">
      <c r="A348" s="2" t="s">
        <v>113</v>
      </c>
      <c r="B348" s="20" t="s">
        <v>109</v>
      </c>
      <c r="C348" s="21">
        <v>91.5</v>
      </c>
      <c r="D348" s="21">
        <v>130.1</v>
      </c>
      <c r="E348" s="21">
        <v>807.1</v>
      </c>
      <c r="F348" s="21">
        <v>7.5</v>
      </c>
      <c r="G348" s="21">
        <v>21.3</v>
      </c>
      <c r="H348" s="21" t="s">
        <v>129</v>
      </c>
      <c r="I348" s="21"/>
      <c r="J348" s="21"/>
      <c r="K348" s="18"/>
    </row>
    <row r="349" spans="1:11">
      <c r="A349" s="2" t="s">
        <v>113</v>
      </c>
      <c r="B349" s="20" t="s">
        <v>91</v>
      </c>
      <c r="C349" s="21">
        <v>92.1</v>
      </c>
      <c r="D349" s="21" t="s">
        <v>105</v>
      </c>
      <c r="E349" s="21">
        <v>745.3</v>
      </c>
      <c r="F349" s="21">
        <v>9.6</v>
      </c>
      <c r="G349" s="21">
        <v>10.1</v>
      </c>
      <c r="H349" s="21" t="s">
        <v>190</v>
      </c>
      <c r="I349" s="21"/>
      <c r="J349" s="21"/>
      <c r="K349" s="18"/>
    </row>
    <row r="350" spans="1:11">
      <c r="A350" s="2" t="s">
        <v>113</v>
      </c>
      <c r="B350" s="20" t="s">
        <v>91</v>
      </c>
      <c r="C350" s="21">
        <v>92.1</v>
      </c>
      <c r="D350" s="21" t="s">
        <v>105</v>
      </c>
      <c r="E350" s="21">
        <v>745.3</v>
      </c>
      <c r="F350" s="21">
        <v>9.6</v>
      </c>
      <c r="G350" s="21">
        <v>17.399999999999999</v>
      </c>
      <c r="H350" s="21" t="s">
        <v>189</v>
      </c>
      <c r="I350" s="21"/>
      <c r="J350" s="21"/>
      <c r="K350" s="18"/>
    </row>
    <row r="351" spans="1:11">
      <c r="A351" s="2" t="s">
        <v>113</v>
      </c>
      <c r="B351" s="20" t="s">
        <v>91</v>
      </c>
      <c r="C351" s="21">
        <v>92.1</v>
      </c>
      <c r="D351" s="21" t="s">
        <v>105</v>
      </c>
      <c r="E351" s="21">
        <v>745.3</v>
      </c>
      <c r="F351" s="21">
        <v>9.6</v>
      </c>
      <c r="G351" s="21">
        <v>12.8</v>
      </c>
      <c r="H351" s="21" t="s">
        <v>172</v>
      </c>
      <c r="I351" s="21"/>
      <c r="J351" s="21"/>
      <c r="K351" s="18"/>
    </row>
    <row r="352" spans="1:11">
      <c r="A352" s="2" t="s">
        <v>113</v>
      </c>
      <c r="B352" s="20" t="s">
        <v>91</v>
      </c>
      <c r="C352" s="21">
        <v>92.1</v>
      </c>
      <c r="D352" s="21" t="s">
        <v>105</v>
      </c>
      <c r="E352" s="21">
        <v>745.3</v>
      </c>
      <c r="F352" s="21">
        <v>9.6</v>
      </c>
      <c r="G352" s="21">
        <v>10.1</v>
      </c>
      <c r="H352" s="21" t="s">
        <v>190</v>
      </c>
      <c r="I352" s="21"/>
      <c r="J352" s="21"/>
      <c r="K352" s="18"/>
    </row>
    <row r="353" spans="1:11">
      <c r="A353" s="2" t="s">
        <v>113</v>
      </c>
      <c r="B353" s="20" t="s">
        <v>91</v>
      </c>
      <c r="C353" s="21">
        <v>92.1</v>
      </c>
      <c r="D353" s="21" t="s">
        <v>105</v>
      </c>
      <c r="E353" s="21">
        <v>745.3</v>
      </c>
      <c r="F353" s="21">
        <v>9.6</v>
      </c>
      <c r="G353" s="21">
        <v>15.4</v>
      </c>
      <c r="H353" s="21" t="s">
        <v>181</v>
      </c>
      <c r="I353" s="21"/>
      <c r="J353" s="21"/>
      <c r="K353" s="18"/>
    </row>
    <row r="354" spans="1:11">
      <c r="A354" s="2" t="s">
        <v>113</v>
      </c>
      <c r="B354" s="20" t="s">
        <v>91</v>
      </c>
      <c r="C354" s="21">
        <v>92.1</v>
      </c>
      <c r="D354" s="21" t="s">
        <v>105</v>
      </c>
      <c r="E354" s="21">
        <v>745.3</v>
      </c>
      <c r="F354" s="21">
        <v>9.6</v>
      </c>
      <c r="G354" s="21">
        <v>20.6</v>
      </c>
      <c r="H354" s="21" t="s">
        <v>133</v>
      </c>
      <c r="I354" s="21"/>
      <c r="J354" s="21"/>
      <c r="K354" s="18"/>
    </row>
    <row r="355" spans="1:11">
      <c r="A355" s="2" t="s">
        <v>113</v>
      </c>
      <c r="B355" s="20" t="s">
        <v>91</v>
      </c>
      <c r="C355" s="21">
        <v>92.1</v>
      </c>
      <c r="D355" s="21" t="s">
        <v>105</v>
      </c>
      <c r="E355" s="21">
        <v>745.3</v>
      </c>
      <c r="F355" s="21">
        <v>9.6</v>
      </c>
      <c r="G355" s="21">
        <v>19.8</v>
      </c>
      <c r="H355" s="21" t="s">
        <v>128</v>
      </c>
      <c r="I355" s="21"/>
      <c r="J355" s="21"/>
      <c r="K355" s="18"/>
    </row>
    <row r="356" spans="1:11">
      <c r="A356" s="2" t="s">
        <v>113</v>
      </c>
      <c r="B356" s="20" t="s">
        <v>91</v>
      </c>
      <c r="C356" s="21">
        <v>92.1</v>
      </c>
      <c r="D356" s="21" t="s">
        <v>105</v>
      </c>
      <c r="E356" s="21">
        <v>745.3</v>
      </c>
      <c r="F356" s="21">
        <v>9.6</v>
      </c>
      <c r="G356" s="21">
        <v>18.7</v>
      </c>
      <c r="H356" s="21" t="s">
        <v>158</v>
      </c>
      <c r="I356" s="21"/>
      <c r="J356" s="21"/>
      <c r="K356" s="18"/>
    </row>
    <row r="357" spans="1:11">
      <c r="A357" s="2" t="s">
        <v>113</v>
      </c>
      <c r="B357" s="20" t="s">
        <v>91</v>
      </c>
      <c r="C357" s="21">
        <v>92.1</v>
      </c>
      <c r="D357" s="21" t="s">
        <v>105</v>
      </c>
      <c r="E357" s="21">
        <v>745.3</v>
      </c>
      <c r="F357" s="21">
        <v>9.6</v>
      </c>
      <c r="G357" s="21">
        <v>20.8</v>
      </c>
      <c r="H357" s="21" t="s">
        <v>129</v>
      </c>
      <c r="I357" s="21"/>
      <c r="J357" s="21"/>
      <c r="K357" s="18"/>
    </row>
    <row r="358" spans="1:11">
      <c r="A358" s="2" t="s">
        <v>113</v>
      </c>
      <c r="B358" s="20" t="s">
        <v>91</v>
      </c>
      <c r="C358" s="21">
        <v>92.1</v>
      </c>
      <c r="D358" s="21" t="s">
        <v>105</v>
      </c>
      <c r="E358" s="21">
        <v>745.3</v>
      </c>
      <c r="F358" s="21">
        <v>9.6</v>
      </c>
      <c r="G358" s="21">
        <v>20.8</v>
      </c>
      <c r="H358" s="21" t="s">
        <v>129</v>
      </c>
      <c r="I358" s="21"/>
      <c r="J358" s="21"/>
      <c r="K358" s="18"/>
    </row>
    <row r="359" spans="1:11">
      <c r="A359" s="2" t="s">
        <v>113</v>
      </c>
      <c r="B359" s="20" t="s">
        <v>91</v>
      </c>
      <c r="C359" s="21">
        <v>92.5</v>
      </c>
      <c r="D359" s="21" t="s">
        <v>207</v>
      </c>
      <c r="E359" s="21">
        <v>789.7</v>
      </c>
      <c r="F359" s="21">
        <v>10.199999999999999</v>
      </c>
      <c r="G359" s="21">
        <v>15.9</v>
      </c>
      <c r="H359" s="21" t="s">
        <v>185</v>
      </c>
      <c r="I359" s="21"/>
      <c r="J359" s="21"/>
      <c r="K359" s="18"/>
    </row>
    <row r="360" spans="1:11">
      <c r="A360" s="2" t="s">
        <v>113</v>
      </c>
      <c r="B360" s="20" t="s">
        <v>91</v>
      </c>
      <c r="C360" s="21">
        <v>92.5</v>
      </c>
      <c r="D360" s="21" t="s">
        <v>207</v>
      </c>
      <c r="E360" s="21">
        <v>789.7</v>
      </c>
      <c r="F360" s="21">
        <v>10.199999999999999</v>
      </c>
      <c r="G360" s="21">
        <v>19.7</v>
      </c>
      <c r="H360" s="21" t="s">
        <v>141</v>
      </c>
      <c r="I360" s="21"/>
      <c r="J360" s="21"/>
      <c r="K360" s="18"/>
    </row>
    <row r="361" spans="1:11">
      <c r="A361" s="2" t="s">
        <v>113</v>
      </c>
      <c r="B361" s="20" t="s">
        <v>91</v>
      </c>
      <c r="C361" s="21">
        <v>92.5</v>
      </c>
      <c r="D361" s="21" t="s">
        <v>207</v>
      </c>
      <c r="E361" s="21">
        <v>789.7</v>
      </c>
      <c r="F361" s="21">
        <v>10.199999999999999</v>
      </c>
      <c r="G361" s="21">
        <v>21.1</v>
      </c>
      <c r="H361" s="21" t="s">
        <v>141</v>
      </c>
      <c r="I361" s="21"/>
      <c r="J361" s="21"/>
      <c r="K361" s="18"/>
    </row>
    <row r="362" spans="1:11">
      <c r="A362" s="2" t="s">
        <v>113</v>
      </c>
      <c r="B362" s="20" t="s">
        <v>91</v>
      </c>
      <c r="C362" s="21">
        <v>92.5</v>
      </c>
      <c r="D362" s="21" t="s">
        <v>207</v>
      </c>
      <c r="E362" s="21">
        <v>789.7</v>
      </c>
      <c r="F362" s="21">
        <v>10.199999999999999</v>
      </c>
      <c r="G362" s="21">
        <v>18.399999999999999</v>
      </c>
      <c r="H362" s="21" t="s">
        <v>123</v>
      </c>
      <c r="I362" s="21"/>
      <c r="J362" s="21"/>
      <c r="K362" s="18"/>
    </row>
    <row r="363" spans="1:11">
      <c r="A363" s="2" t="s">
        <v>113</v>
      </c>
      <c r="B363" s="20" t="s">
        <v>91</v>
      </c>
      <c r="C363" s="21">
        <v>92.5</v>
      </c>
      <c r="D363" s="21" t="s">
        <v>207</v>
      </c>
      <c r="E363" s="21">
        <v>789.7</v>
      </c>
      <c r="F363" s="21">
        <v>10.199999999999999</v>
      </c>
      <c r="G363" s="21">
        <v>17.3</v>
      </c>
      <c r="H363" s="21" t="s">
        <v>157</v>
      </c>
      <c r="I363" s="21"/>
      <c r="J363" s="21"/>
      <c r="K363" s="18"/>
    </row>
    <row r="364" spans="1:11">
      <c r="A364" s="2" t="s">
        <v>113</v>
      </c>
      <c r="B364" s="20" t="s">
        <v>91</v>
      </c>
      <c r="C364" s="21">
        <v>88.2</v>
      </c>
      <c r="D364" s="21">
        <v>55.2</v>
      </c>
      <c r="E364" s="21">
        <v>732.3</v>
      </c>
      <c r="F364" s="21">
        <v>11.6</v>
      </c>
      <c r="G364" s="21">
        <v>15.2</v>
      </c>
      <c r="H364" s="21" t="s">
        <v>172</v>
      </c>
      <c r="I364" s="21"/>
      <c r="J364" s="21"/>
      <c r="K364" s="18"/>
    </row>
    <row r="365" spans="1:11">
      <c r="A365" s="2" t="s">
        <v>113</v>
      </c>
      <c r="B365" s="20" t="s">
        <v>95</v>
      </c>
      <c r="C365" s="21">
        <v>91.9</v>
      </c>
      <c r="D365" s="21">
        <v>111.7</v>
      </c>
      <c r="E365" s="21">
        <v>770.3</v>
      </c>
      <c r="F365" s="21">
        <v>6.5</v>
      </c>
      <c r="G365" s="21">
        <v>15.9</v>
      </c>
      <c r="H365" s="21" t="s">
        <v>181</v>
      </c>
      <c r="I365" s="21"/>
      <c r="J365" s="21"/>
      <c r="K365" s="18"/>
    </row>
    <row r="366" spans="1:11">
      <c r="A366" s="2" t="s">
        <v>113</v>
      </c>
      <c r="B366" s="20" t="s">
        <v>95</v>
      </c>
      <c r="C366" s="21">
        <v>91.9</v>
      </c>
      <c r="D366" s="21">
        <v>111.7</v>
      </c>
      <c r="E366" s="21">
        <v>770.3</v>
      </c>
      <c r="F366" s="21">
        <v>6.5</v>
      </c>
      <c r="G366" s="21">
        <v>21.1</v>
      </c>
      <c r="H366" s="21" t="s">
        <v>129</v>
      </c>
      <c r="I366" s="21"/>
      <c r="J366" s="21"/>
      <c r="K366" s="18"/>
    </row>
    <row r="367" spans="1:11">
      <c r="A367" s="2" t="s">
        <v>113</v>
      </c>
      <c r="B367" s="20" t="s">
        <v>95</v>
      </c>
      <c r="C367" s="21">
        <v>91.9</v>
      </c>
      <c r="D367" s="21">
        <v>111.7</v>
      </c>
      <c r="E367" s="21">
        <v>770.3</v>
      </c>
      <c r="F367" s="21">
        <v>6.5</v>
      </c>
      <c r="G367" s="21">
        <v>19.600000000000001</v>
      </c>
      <c r="H367" s="21" t="s">
        <v>157</v>
      </c>
      <c r="I367" s="21"/>
      <c r="J367" s="21"/>
      <c r="K367" s="18"/>
    </row>
    <row r="368" spans="1:11">
      <c r="A368" s="2" t="s">
        <v>113</v>
      </c>
      <c r="B368" s="20" t="s">
        <v>95</v>
      </c>
      <c r="C368" s="21">
        <v>91.1</v>
      </c>
      <c r="D368" s="21">
        <v>132.30000000000001</v>
      </c>
      <c r="E368" s="21">
        <v>812.1</v>
      </c>
      <c r="F368" s="21">
        <v>12.5</v>
      </c>
      <c r="G368" s="21">
        <v>15.9</v>
      </c>
      <c r="H368" s="21" t="s">
        <v>119</v>
      </c>
      <c r="I368" s="21"/>
      <c r="J368" s="21"/>
      <c r="K368" s="18"/>
    </row>
    <row r="369" spans="1:11">
      <c r="A369" s="2" t="s">
        <v>113</v>
      </c>
      <c r="B369" s="20" t="s">
        <v>95</v>
      </c>
      <c r="C369" s="21">
        <v>91.1</v>
      </c>
      <c r="D369" s="21">
        <v>132.30000000000001</v>
      </c>
      <c r="E369" s="21">
        <v>812.1</v>
      </c>
      <c r="F369" s="21">
        <v>12.5</v>
      </c>
      <c r="G369" s="21">
        <v>16.399999999999999</v>
      </c>
      <c r="H369" s="21" t="s">
        <v>110</v>
      </c>
      <c r="I369" s="21"/>
      <c r="J369" s="21"/>
      <c r="K369" s="18"/>
    </row>
    <row r="370" spans="1:11">
      <c r="A370" s="2" t="s">
        <v>113</v>
      </c>
      <c r="B370" s="20" t="s">
        <v>99</v>
      </c>
      <c r="C370" s="21">
        <v>91.2</v>
      </c>
      <c r="D370" s="21">
        <v>94.3</v>
      </c>
      <c r="E370" s="21">
        <v>744.4</v>
      </c>
      <c r="F370" s="21">
        <v>8.4</v>
      </c>
      <c r="G370" s="21">
        <v>16.8</v>
      </c>
      <c r="H370" s="21" t="s">
        <v>128</v>
      </c>
      <c r="I370" s="21"/>
      <c r="J370" s="21"/>
      <c r="K370" s="18"/>
    </row>
    <row r="371" spans="1:11">
      <c r="A371" s="2" t="s">
        <v>113</v>
      </c>
      <c r="B371" s="20" t="s">
        <v>104</v>
      </c>
      <c r="C371" s="21" t="s">
        <v>114</v>
      </c>
      <c r="D371" s="21">
        <v>276.3</v>
      </c>
      <c r="E371" s="21">
        <v>825.1</v>
      </c>
      <c r="F371" s="21">
        <v>7.1</v>
      </c>
      <c r="G371" s="21">
        <v>13.8</v>
      </c>
      <c r="H371" s="21" t="s">
        <v>193</v>
      </c>
      <c r="I371" s="21"/>
      <c r="J371" s="21"/>
      <c r="K371" s="18"/>
    </row>
    <row r="372" spans="1:11">
      <c r="A372" s="2" t="s">
        <v>113</v>
      </c>
      <c r="B372" s="20" t="s">
        <v>104</v>
      </c>
      <c r="C372" s="21" t="s">
        <v>114</v>
      </c>
      <c r="D372" s="21">
        <v>276.3</v>
      </c>
      <c r="E372" s="21">
        <v>825.1</v>
      </c>
      <c r="F372" s="21">
        <v>7.1</v>
      </c>
      <c r="G372" s="21">
        <v>13.8</v>
      </c>
      <c r="H372" s="21" t="s">
        <v>193</v>
      </c>
      <c r="I372" s="21"/>
      <c r="J372" s="21"/>
      <c r="K372" s="18"/>
    </row>
    <row r="373" spans="1:11">
      <c r="A373" s="2" t="s">
        <v>146</v>
      </c>
      <c r="B373" s="20" t="s">
        <v>124</v>
      </c>
      <c r="C373" s="21">
        <v>91.9</v>
      </c>
      <c r="D373" s="21">
        <v>133.6</v>
      </c>
      <c r="E373" s="21">
        <v>520.5</v>
      </c>
      <c r="F373" s="21" t="s">
        <v>111</v>
      </c>
      <c r="G373" s="21">
        <v>14.2</v>
      </c>
      <c r="H373" s="21" t="s">
        <v>180</v>
      </c>
      <c r="I373" s="21"/>
      <c r="J373" s="21"/>
      <c r="K373" s="18"/>
    </row>
    <row r="374" spans="1:11">
      <c r="A374" s="2" t="s">
        <v>106</v>
      </c>
      <c r="B374" s="20" t="s">
        <v>104</v>
      </c>
      <c r="C374" s="21" t="s">
        <v>208</v>
      </c>
      <c r="D374" s="21">
        <v>203.2</v>
      </c>
      <c r="E374" s="21">
        <v>664.5</v>
      </c>
      <c r="F374" s="21">
        <v>8.1</v>
      </c>
      <c r="G374" s="21">
        <v>10.4</v>
      </c>
      <c r="H374" s="21" t="s">
        <v>190</v>
      </c>
      <c r="I374" s="21"/>
      <c r="J374" s="21"/>
      <c r="K374" s="18"/>
    </row>
    <row r="375" spans="1:11">
      <c r="A375" s="2" t="s">
        <v>106</v>
      </c>
      <c r="B375" s="20" t="s">
        <v>155</v>
      </c>
      <c r="C375" s="21">
        <v>94.8</v>
      </c>
      <c r="D375" s="21">
        <v>222.4</v>
      </c>
      <c r="E375" s="21">
        <v>698.6</v>
      </c>
      <c r="F375" s="21">
        <v>13.9</v>
      </c>
      <c r="G375" s="21">
        <v>20.3</v>
      </c>
      <c r="H375" s="21" t="s">
        <v>123</v>
      </c>
      <c r="I375" s="21"/>
      <c r="J375" s="21"/>
      <c r="K375" s="18"/>
    </row>
    <row r="376" spans="1:11">
      <c r="A376" s="2" t="s">
        <v>113</v>
      </c>
      <c r="B376" s="20" t="s">
        <v>91</v>
      </c>
      <c r="C376" s="21">
        <v>90.3</v>
      </c>
      <c r="D376" s="21" t="s">
        <v>209</v>
      </c>
      <c r="E376" s="21">
        <v>855.3</v>
      </c>
      <c r="F376" s="21">
        <v>7.4</v>
      </c>
      <c r="G376" s="21">
        <v>10.3</v>
      </c>
      <c r="H376" s="21" t="s">
        <v>142</v>
      </c>
      <c r="I376" s="21"/>
      <c r="J376" s="21"/>
      <c r="K376" s="18"/>
    </row>
    <row r="377" spans="1:11">
      <c r="A377" s="2" t="s">
        <v>113</v>
      </c>
      <c r="B377" s="20" t="s">
        <v>99</v>
      </c>
      <c r="C377" s="21">
        <v>91.2</v>
      </c>
      <c r="D377" s="21">
        <v>94.3</v>
      </c>
      <c r="E377" s="21">
        <v>744.4</v>
      </c>
      <c r="F377" s="21">
        <v>8.4</v>
      </c>
      <c r="G377" s="21">
        <v>15.4</v>
      </c>
      <c r="H377" s="21" t="s">
        <v>189</v>
      </c>
      <c r="I377" s="21"/>
      <c r="J377" s="21"/>
      <c r="K377" s="18"/>
    </row>
    <row r="378" spans="1:11">
      <c r="A378" s="2" t="s">
        <v>106</v>
      </c>
      <c r="B378" s="20" t="s">
        <v>109</v>
      </c>
      <c r="C378" s="21">
        <v>92.1</v>
      </c>
      <c r="D378" s="21" t="s">
        <v>210</v>
      </c>
      <c r="E378" s="21">
        <v>672.6</v>
      </c>
      <c r="F378" s="21">
        <v>8.1999999999999993</v>
      </c>
      <c r="G378" s="21">
        <v>21.1</v>
      </c>
      <c r="H378" s="21" t="s">
        <v>147</v>
      </c>
      <c r="I378" s="21"/>
      <c r="J378" s="21"/>
      <c r="K378" s="18"/>
    </row>
    <row r="379" spans="1:11">
      <c r="A379" s="2" t="s">
        <v>106</v>
      </c>
      <c r="B379" s="20" t="s">
        <v>99</v>
      </c>
      <c r="C379" s="21">
        <v>93.7</v>
      </c>
      <c r="D379" s="21">
        <v>231.1</v>
      </c>
      <c r="E379" s="21">
        <v>715.1</v>
      </c>
      <c r="F379" s="21">
        <v>8.4</v>
      </c>
      <c r="G379" s="21">
        <v>21.9</v>
      </c>
      <c r="H379" s="21" t="s">
        <v>123</v>
      </c>
      <c r="I379" s="21"/>
      <c r="J379" s="21"/>
      <c r="K379" s="18"/>
    </row>
    <row r="380" spans="1:11">
      <c r="A380" s="2" t="s">
        <v>90</v>
      </c>
      <c r="B380" s="20" t="s">
        <v>155</v>
      </c>
      <c r="C380" s="21">
        <v>90.9</v>
      </c>
      <c r="D380" s="21">
        <v>18.899999999999999</v>
      </c>
      <c r="E380" s="21">
        <v>30.6</v>
      </c>
      <c r="F380" s="21" t="s">
        <v>111</v>
      </c>
      <c r="G380" s="21">
        <v>8.6999999999999993</v>
      </c>
      <c r="H380" s="21" t="s">
        <v>92</v>
      </c>
      <c r="I380" s="21"/>
      <c r="J380" s="21"/>
      <c r="K380" s="18"/>
    </row>
    <row r="381" spans="1:11">
      <c r="A381" s="2" t="s">
        <v>175</v>
      </c>
      <c r="B381" s="20" t="s">
        <v>104</v>
      </c>
      <c r="C381" s="21">
        <v>18.7</v>
      </c>
      <c r="D381" s="21">
        <v>1.1000000000000001</v>
      </c>
      <c r="E381" s="21">
        <v>171.4</v>
      </c>
      <c r="F381" s="21" t="s">
        <v>211</v>
      </c>
      <c r="G381" s="21">
        <v>5.2</v>
      </c>
      <c r="H381" s="21" t="s">
        <v>212</v>
      </c>
      <c r="I381" s="21"/>
      <c r="J381" s="21"/>
      <c r="K381" s="18"/>
    </row>
    <row r="382" spans="1:11">
      <c r="A382" s="2" t="s">
        <v>146</v>
      </c>
      <c r="B382" s="20" t="s">
        <v>124</v>
      </c>
      <c r="C382" s="21">
        <v>93.7</v>
      </c>
      <c r="D382" s="21">
        <v>101.3</v>
      </c>
      <c r="E382" s="21">
        <v>458.8</v>
      </c>
      <c r="F382" s="21">
        <v>11.9</v>
      </c>
      <c r="G382" s="21">
        <v>19.3</v>
      </c>
      <c r="H382" s="21" t="s">
        <v>141</v>
      </c>
      <c r="I382" s="21"/>
      <c r="J382" s="21"/>
      <c r="K382" s="18"/>
    </row>
    <row r="383" spans="1:11">
      <c r="A383" s="2" t="s">
        <v>106</v>
      </c>
      <c r="B383" s="20" t="s">
        <v>155</v>
      </c>
      <c r="C383" s="21">
        <v>90.7</v>
      </c>
      <c r="D383" s="21">
        <v>194.1</v>
      </c>
      <c r="E383" s="21" t="s">
        <v>213</v>
      </c>
      <c r="F383" s="21">
        <v>6.8</v>
      </c>
      <c r="G383" s="21">
        <v>16.2</v>
      </c>
      <c r="H383" s="21" t="s">
        <v>115</v>
      </c>
      <c r="I383" s="21"/>
      <c r="J383" s="21"/>
      <c r="K383" s="18"/>
    </row>
    <row r="384" spans="1:11">
      <c r="A384" s="2" t="s">
        <v>106</v>
      </c>
      <c r="B384" s="20" t="s">
        <v>124</v>
      </c>
      <c r="C384" s="21">
        <v>95.2</v>
      </c>
      <c r="D384" s="21">
        <v>217.7</v>
      </c>
      <c r="E384" s="21" t="s">
        <v>214</v>
      </c>
      <c r="F384" s="21" t="s">
        <v>96</v>
      </c>
      <c r="G384" s="21">
        <v>28.2</v>
      </c>
      <c r="H384" s="21" t="s">
        <v>108</v>
      </c>
      <c r="I384" s="21"/>
      <c r="J384" s="21"/>
      <c r="K384" s="18"/>
    </row>
    <row r="385" spans="1:11">
      <c r="A385" s="2" t="s">
        <v>106</v>
      </c>
      <c r="B385" s="20" t="s">
        <v>155</v>
      </c>
      <c r="C385" s="21">
        <v>91.6</v>
      </c>
      <c r="D385" s="21">
        <v>248.4</v>
      </c>
      <c r="E385" s="21">
        <v>753.8</v>
      </c>
      <c r="F385" s="21">
        <v>6.3</v>
      </c>
      <c r="G385" s="21">
        <v>20.5</v>
      </c>
      <c r="H385" s="21" t="s">
        <v>180</v>
      </c>
      <c r="I385" s="21"/>
      <c r="J385" s="21"/>
      <c r="K385" s="18"/>
    </row>
    <row r="386" spans="1:11">
      <c r="A386" s="2" t="s">
        <v>106</v>
      </c>
      <c r="B386" s="20" t="s">
        <v>99</v>
      </c>
      <c r="C386" s="21">
        <v>91.6</v>
      </c>
      <c r="D386" s="21">
        <v>273.8</v>
      </c>
      <c r="E386" s="21">
        <v>819.1</v>
      </c>
      <c r="F386" s="21">
        <v>7.7</v>
      </c>
      <c r="G386" s="21">
        <v>21.3</v>
      </c>
      <c r="H386" s="21" t="s">
        <v>126</v>
      </c>
      <c r="I386" s="21"/>
      <c r="J386" s="21"/>
      <c r="K386" s="18"/>
    </row>
    <row r="387" spans="1:11">
      <c r="A387" s="2" t="s">
        <v>106</v>
      </c>
      <c r="B387" s="20" t="s">
        <v>104</v>
      </c>
      <c r="C387" s="21">
        <v>91.6</v>
      </c>
      <c r="D387" s="21">
        <v>181.3</v>
      </c>
      <c r="E387" s="21" t="s">
        <v>215</v>
      </c>
      <c r="F387" s="21">
        <v>7.6</v>
      </c>
      <c r="G387" s="21">
        <v>20.9</v>
      </c>
      <c r="H387" s="21" t="s">
        <v>158</v>
      </c>
      <c r="I387" s="21"/>
      <c r="J387" s="21"/>
      <c r="K387" s="18"/>
    </row>
    <row r="388" spans="1:11">
      <c r="A388" s="2" t="s">
        <v>113</v>
      </c>
      <c r="B388" s="20" t="s">
        <v>104</v>
      </c>
      <c r="C388" s="21">
        <v>90.5</v>
      </c>
      <c r="D388" s="21">
        <v>96.7</v>
      </c>
      <c r="E388" s="21">
        <v>750.5</v>
      </c>
      <c r="F388" s="21">
        <v>11.4</v>
      </c>
      <c r="G388" s="21">
        <v>20.6</v>
      </c>
      <c r="H388" s="21" t="s">
        <v>185</v>
      </c>
      <c r="I388" s="21"/>
      <c r="J388" s="21"/>
      <c r="K388" s="18"/>
    </row>
    <row r="389" spans="1:11">
      <c r="A389" s="2" t="s">
        <v>90</v>
      </c>
      <c r="B389" s="20" t="s">
        <v>155</v>
      </c>
      <c r="C389" s="21">
        <v>90.9</v>
      </c>
      <c r="D389" s="21">
        <v>18.899999999999999</v>
      </c>
      <c r="E389" s="21">
        <v>30.6</v>
      </c>
      <c r="F389" s="21" t="s">
        <v>111</v>
      </c>
      <c r="G389" s="21">
        <v>11.6</v>
      </c>
      <c r="H389" s="21" t="s">
        <v>139</v>
      </c>
      <c r="I389" s="21"/>
      <c r="J389" s="21"/>
      <c r="K389" s="18"/>
    </row>
    <row r="390" spans="1:11">
      <c r="A390" s="2" t="s">
        <v>106</v>
      </c>
      <c r="B390" s="20" t="s">
        <v>91</v>
      </c>
      <c r="C390" s="21">
        <v>94.8</v>
      </c>
      <c r="D390" s="21" t="s">
        <v>216</v>
      </c>
      <c r="E390" s="21">
        <v>706.7</v>
      </c>
      <c r="F390" s="21" t="s">
        <v>217</v>
      </c>
      <c r="G390" s="21">
        <v>23.3</v>
      </c>
      <c r="H390" s="21" t="s">
        <v>138</v>
      </c>
      <c r="I390" s="21"/>
      <c r="J390" s="21"/>
      <c r="K390" s="18"/>
    </row>
    <row r="391" spans="1:11">
      <c r="A391" s="2" t="s">
        <v>106</v>
      </c>
      <c r="B391" s="20" t="s">
        <v>91</v>
      </c>
      <c r="C391" s="21">
        <v>94.8</v>
      </c>
      <c r="D391" s="21" t="s">
        <v>216</v>
      </c>
      <c r="E391" s="21">
        <v>706.7</v>
      </c>
      <c r="F391" s="21" t="s">
        <v>217</v>
      </c>
      <c r="G391" s="21">
        <v>23.3</v>
      </c>
      <c r="H391" s="21" t="s">
        <v>138</v>
      </c>
      <c r="I391" s="21"/>
      <c r="J391" s="21"/>
      <c r="K391" s="18"/>
    </row>
    <row r="392" spans="1:11">
      <c r="A392" s="2" t="s">
        <v>159</v>
      </c>
      <c r="B392" s="20" t="s">
        <v>109</v>
      </c>
      <c r="C392" s="21">
        <v>84.7</v>
      </c>
      <c r="D392" s="21">
        <v>9.5</v>
      </c>
      <c r="E392" s="21">
        <v>58.3</v>
      </c>
      <c r="F392" s="21">
        <v>4.0999999999999996</v>
      </c>
      <c r="G392" s="21">
        <v>7.5</v>
      </c>
      <c r="H392" s="21" t="s">
        <v>201</v>
      </c>
      <c r="I392" s="21"/>
      <c r="J392" s="21"/>
      <c r="K392" s="18"/>
    </row>
    <row r="393" spans="1:11">
      <c r="A393" s="2" t="s">
        <v>113</v>
      </c>
      <c r="B393" s="20" t="s">
        <v>91</v>
      </c>
      <c r="C393" s="21">
        <v>91.1</v>
      </c>
      <c r="D393" s="21">
        <v>91.3</v>
      </c>
      <c r="E393" s="21">
        <v>738.1</v>
      </c>
      <c r="F393" s="21">
        <v>7.2</v>
      </c>
      <c r="G393" s="21">
        <v>20.7</v>
      </c>
      <c r="H393" s="21" t="s">
        <v>154</v>
      </c>
      <c r="I393" s="21"/>
      <c r="J393" s="21"/>
      <c r="K393" s="18"/>
    </row>
    <row r="394" spans="1:11">
      <c r="A394" s="2" t="s">
        <v>113</v>
      </c>
      <c r="B394" s="20" t="s">
        <v>104</v>
      </c>
      <c r="C394" s="21" t="s">
        <v>114</v>
      </c>
      <c r="D394" s="21">
        <v>276.3</v>
      </c>
      <c r="E394" s="21">
        <v>825.1</v>
      </c>
      <c r="F394" s="21">
        <v>7.1</v>
      </c>
      <c r="G394" s="21">
        <v>21.9</v>
      </c>
      <c r="H394" s="21" t="s">
        <v>133</v>
      </c>
      <c r="I394" s="21"/>
      <c r="J394" s="21"/>
      <c r="K394" s="18"/>
    </row>
    <row r="395" spans="1:11">
      <c r="A395" s="2" t="s">
        <v>90</v>
      </c>
      <c r="B395" s="20" t="s">
        <v>95</v>
      </c>
      <c r="C395" s="21">
        <v>93.4</v>
      </c>
      <c r="D395" s="21" t="s">
        <v>170</v>
      </c>
      <c r="E395" s="21">
        <v>25.6</v>
      </c>
      <c r="F395" s="21">
        <v>11.4</v>
      </c>
      <c r="G395" s="21">
        <v>15.2</v>
      </c>
      <c r="H395" s="21" t="s">
        <v>137</v>
      </c>
      <c r="I395" s="21"/>
      <c r="J395" s="21"/>
      <c r="K395" s="18"/>
    </row>
    <row r="396" spans="1:11">
      <c r="A396" s="2" t="s">
        <v>159</v>
      </c>
      <c r="B396" s="20" t="s">
        <v>109</v>
      </c>
      <c r="C396" s="21">
        <v>84.1</v>
      </c>
      <c r="D396" s="21">
        <v>4.5999999999999996</v>
      </c>
      <c r="E396" s="21">
        <v>46.7</v>
      </c>
      <c r="F396" s="21">
        <v>2.2000000000000002</v>
      </c>
      <c r="G396" s="21">
        <v>5.3</v>
      </c>
      <c r="H396" s="21" t="s">
        <v>187</v>
      </c>
      <c r="I396" s="21"/>
      <c r="J396" s="21"/>
      <c r="K396" s="18"/>
    </row>
    <row r="397" spans="1:11">
      <c r="A397" s="2" t="s">
        <v>159</v>
      </c>
      <c r="B397" s="20" t="s">
        <v>104</v>
      </c>
      <c r="C397" s="21" t="s">
        <v>218</v>
      </c>
      <c r="D397" s="21" t="s">
        <v>101</v>
      </c>
      <c r="E397" s="21">
        <v>56.9</v>
      </c>
      <c r="F397" s="21">
        <v>3.5</v>
      </c>
      <c r="G397" s="21">
        <v>10.1</v>
      </c>
      <c r="H397" s="21" t="s">
        <v>144</v>
      </c>
      <c r="I397" s="21"/>
      <c r="J397" s="21"/>
      <c r="K397" s="18"/>
    </row>
    <row r="398" spans="1:11">
      <c r="A398" s="2" t="s">
        <v>113</v>
      </c>
      <c r="B398" s="20" t="s">
        <v>104</v>
      </c>
      <c r="C398" s="21">
        <v>90.5</v>
      </c>
      <c r="D398" s="21">
        <v>96.7</v>
      </c>
      <c r="E398" s="21">
        <v>750.5</v>
      </c>
      <c r="F398" s="21">
        <v>11.4</v>
      </c>
      <c r="G398" s="21">
        <v>20.399999999999999</v>
      </c>
      <c r="H398" s="21" t="s">
        <v>185</v>
      </c>
      <c r="I398" s="21"/>
      <c r="J398" s="21"/>
      <c r="K398" s="18"/>
    </row>
    <row r="399" spans="1:11">
      <c r="A399" s="2" t="s">
        <v>106</v>
      </c>
      <c r="B399" s="20" t="s">
        <v>104</v>
      </c>
      <c r="C399" s="21">
        <v>91.6</v>
      </c>
      <c r="D399" s="21">
        <v>181.3</v>
      </c>
      <c r="E399" s="21" t="s">
        <v>215</v>
      </c>
      <c r="F399" s="21">
        <v>7.6</v>
      </c>
      <c r="G399" s="21">
        <v>24.3</v>
      </c>
      <c r="H399" s="21" t="s">
        <v>97</v>
      </c>
      <c r="I399" s="21"/>
      <c r="J399" s="21"/>
      <c r="K399" s="18"/>
    </row>
    <row r="400" spans="1:11">
      <c r="A400" s="2" t="s">
        <v>106</v>
      </c>
      <c r="B400" s="20" t="s">
        <v>99</v>
      </c>
      <c r="C400" s="21">
        <v>93.7</v>
      </c>
      <c r="D400" s="21">
        <v>231.1</v>
      </c>
      <c r="E400" s="21">
        <v>715.1</v>
      </c>
      <c r="F400" s="21">
        <v>8.4</v>
      </c>
      <c r="G400" s="21">
        <v>25.9</v>
      </c>
      <c r="H400" s="21" t="s">
        <v>134</v>
      </c>
      <c r="I400" s="21"/>
      <c r="J400" s="21"/>
      <c r="K400" s="18"/>
    </row>
    <row r="401" spans="1:11">
      <c r="A401" s="2" t="s">
        <v>131</v>
      </c>
      <c r="B401" s="20" t="s">
        <v>124</v>
      </c>
      <c r="C401" s="21">
        <v>93.3</v>
      </c>
      <c r="D401" s="21">
        <v>49.5</v>
      </c>
      <c r="E401" s="21">
        <v>297.7</v>
      </c>
      <c r="F401" s="21" t="s">
        <v>179</v>
      </c>
      <c r="G401" s="21" t="s">
        <v>182</v>
      </c>
      <c r="H401" s="21" t="s">
        <v>138</v>
      </c>
      <c r="I401" s="21"/>
      <c r="J401" s="21"/>
      <c r="K401" s="18"/>
    </row>
    <row r="402" spans="1:11">
      <c r="A402" s="2" t="s">
        <v>131</v>
      </c>
      <c r="B402" s="20" t="s">
        <v>124</v>
      </c>
      <c r="C402" s="21">
        <v>93.3</v>
      </c>
      <c r="D402" s="21">
        <v>49.5</v>
      </c>
      <c r="E402" s="21">
        <v>297.7</v>
      </c>
      <c r="F402" s="21" t="s">
        <v>179</v>
      </c>
      <c r="G402" s="21" t="s">
        <v>182</v>
      </c>
      <c r="H402" s="21" t="s">
        <v>138</v>
      </c>
      <c r="I402" s="21"/>
      <c r="J402" s="21"/>
      <c r="K402" s="18"/>
    </row>
    <row r="403" spans="1:11">
      <c r="A403" s="2" t="s">
        <v>113</v>
      </c>
      <c r="B403" s="20" t="s">
        <v>155</v>
      </c>
      <c r="C403" s="21">
        <v>91.1</v>
      </c>
      <c r="D403" s="21">
        <v>88.2</v>
      </c>
      <c r="E403" s="21">
        <v>731.7</v>
      </c>
      <c r="F403" s="21">
        <v>8.3000000000000007</v>
      </c>
      <c r="G403" s="21">
        <v>22.8</v>
      </c>
      <c r="H403" s="21" t="s">
        <v>154</v>
      </c>
      <c r="I403" s="21"/>
      <c r="J403" s="21"/>
      <c r="K403" s="18"/>
    </row>
    <row r="404" spans="1:11">
      <c r="A404" s="2" t="s">
        <v>106</v>
      </c>
      <c r="B404" s="20" t="s">
        <v>91</v>
      </c>
      <c r="C404" s="21">
        <v>94.8</v>
      </c>
      <c r="D404" s="21" t="s">
        <v>216</v>
      </c>
      <c r="E404" s="21">
        <v>706.7</v>
      </c>
      <c r="F404" s="21" t="s">
        <v>217</v>
      </c>
      <c r="G404" s="21" t="s">
        <v>165</v>
      </c>
      <c r="H404" s="21" t="s">
        <v>152</v>
      </c>
      <c r="I404" s="21"/>
      <c r="J404" s="21"/>
      <c r="K404" s="18"/>
    </row>
    <row r="405" spans="1:11">
      <c r="A405" s="2" t="s">
        <v>106</v>
      </c>
      <c r="B405" s="20" t="s">
        <v>155</v>
      </c>
      <c r="C405" s="21">
        <v>90.7</v>
      </c>
      <c r="D405" s="21">
        <v>194.1</v>
      </c>
      <c r="E405" s="21" t="s">
        <v>213</v>
      </c>
      <c r="F405" s="21">
        <v>6.8</v>
      </c>
      <c r="G405" s="21">
        <v>21.3</v>
      </c>
      <c r="H405" s="21" t="s">
        <v>183</v>
      </c>
      <c r="I405" s="21"/>
      <c r="J405" s="21"/>
      <c r="K405" s="18"/>
    </row>
    <row r="406" spans="1:11">
      <c r="A406" s="2" t="s">
        <v>113</v>
      </c>
      <c r="B406" s="20" t="s">
        <v>124</v>
      </c>
      <c r="C406" s="21">
        <v>87.9</v>
      </c>
      <c r="D406" s="21">
        <v>84.8</v>
      </c>
      <c r="E406" s="21">
        <v>725.1</v>
      </c>
      <c r="F406" s="21">
        <v>3.7</v>
      </c>
      <c r="G406" s="21">
        <v>21.8</v>
      </c>
      <c r="H406" s="21" t="s">
        <v>138</v>
      </c>
      <c r="I406" s="21"/>
      <c r="J406" s="21"/>
      <c r="K406" s="18"/>
    </row>
    <row r="407" spans="1:11">
      <c r="A407" s="2" t="s">
        <v>106</v>
      </c>
      <c r="B407" s="20" t="s">
        <v>95</v>
      </c>
      <c r="C407" s="21">
        <v>94.6</v>
      </c>
      <c r="D407" s="21">
        <v>212.1</v>
      </c>
      <c r="E407" s="21">
        <v>680.9</v>
      </c>
      <c r="F407" s="21">
        <v>9.5</v>
      </c>
      <c r="G407" s="21">
        <v>27.9</v>
      </c>
      <c r="H407" s="21" t="s">
        <v>110</v>
      </c>
      <c r="I407" s="21"/>
      <c r="J407" s="21"/>
      <c r="K407" s="18"/>
    </row>
    <row r="408" spans="1:11">
      <c r="A408" s="2" t="s">
        <v>113</v>
      </c>
      <c r="B408" s="20" t="s">
        <v>99</v>
      </c>
      <c r="C408" s="21">
        <v>87.1</v>
      </c>
      <c r="D408" s="21">
        <v>291.3</v>
      </c>
      <c r="E408" s="21">
        <v>860.6</v>
      </c>
      <c r="F408" s="21" t="s">
        <v>219</v>
      </c>
      <c r="G408" s="21" t="s">
        <v>120</v>
      </c>
      <c r="H408" s="21" t="s">
        <v>184</v>
      </c>
      <c r="I408" s="21"/>
      <c r="J408" s="21"/>
      <c r="K408" s="18"/>
    </row>
    <row r="409" spans="1:11">
      <c r="A409" s="2" t="s">
        <v>159</v>
      </c>
      <c r="B409" s="20" t="s">
        <v>99</v>
      </c>
      <c r="C409" s="21">
        <v>84.7</v>
      </c>
      <c r="D409" s="21">
        <v>8.1999999999999993</v>
      </c>
      <c r="E409" s="21" t="s">
        <v>185</v>
      </c>
      <c r="F409" s="21">
        <v>2.9</v>
      </c>
      <c r="G409" s="21">
        <v>14.2</v>
      </c>
      <c r="H409" s="21" t="s">
        <v>154</v>
      </c>
      <c r="I409" s="21"/>
      <c r="J409" s="21"/>
      <c r="K409" s="18"/>
    </row>
    <row r="410" spans="1:11">
      <c r="A410" s="2" t="s">
        <v>113</v>
      </c>
      <c r="B410" s="20" t="s">
        <v>91</v>
      </c>
      <c r="C410" s="21">
        <v>90.3</v>
      </c>
      <c r="D410" s="21" t="s">
        <v>209</v>
      </c>
      <c r="E410" s="21">
        <v>855.3</v>
      </c>
      <c r="F410" s="21">
        <v>7.4</v>
      </c>
      <c r="G410" s="21">
        <v>19.899999999999999</v>
      </c>
      <c r="H410" s="21" t="s">
        <v>126</v>
      </c>
      <c r="I410" s="21"/>
      <c r="J410" s="21"/>
      <c r="K410" s="18"/>
    </row>
    <row r="411" spans="1:11">
      <c r="A411" s="2" t="s">
        <v>146</v>
      </c>
      <c r="B411" s="20" t="s">
        <v>95</v>
      </c>
      <c r="C411" s="21">
        <v>92.3</v>
      </c>
      <c r="D411" s="21">
        <v>96.2</v>
      </c>
      <c r="E411" s="21">
        <v>450.2</v>
      </c>
      <c r="F411" s="21">
        <v>12.1</v>
      </c>
      <c r="G411" s="21">
        <v>23.4</v>
      </c>
      <c r="H411" s="21" t="s">
        <v>163</v>
      </c>
      <c r="I411" s="21"/>
      <c r="J411" s="21"/>
      <c r="K411" s="18"/>
    </row>
    <row r="412" spans="1:11">
      <c r="A412" s="2" t="s">
        <v>159</v>
      </c>
      <c r="B412" s="20" t="s">
        <v>91</v>
      </c>
      <c r="C412" s="21">
        <v>84.1</v>
      </c>
      <c r="D412" s="21">
        <v>7.3</v>
      </c>
      <c r="E412" s="21">
        <v>52.8</v>
      </c>
      <c r="F412" s="21">
        <v>2.7</v>
      </c>
      <c r="G412" s="21">
        <v>14.7</v>
      </c>
      <c r="H412" s="21" t="s">
        <v>123</v>
      </c>
      <c r="I412" s="21"/>
      <c r="J412" s="21"/>
      <c r="K412" s="18"/>
    </row>
    <row r="413" spans="1:11">
      <c r="A413" s="2" t="s">
        <v>159</v>
      </c>
      <c r="B413" s="20" t="s">
        <v>91</v>
      </c>
      <c r="C413" s="21">
        <v>84.6</v>
      </c>
      <c r="D413" s="21">
        <v>3.2</v>
      </c>
      <c r="E413" s="21">
        <v>43.6</v>
      </c>
      <c r="F413" s="21">
        <v>3.3</v>
      </c>
      <c r="G413" s="21">
        <v>8.1999999999999993</v>
      </c>
      <c r="H413" s="21" t="s">
        <v>181</v>
      </c>
      <c r="I413" s="21"/>
      <c r="J413" s="21"/>
      <c r="K413" s="18"/>
    </row>
    <row r="414" spans="1:11">
      <c r="A414" s="2" t="s">
        <v>146</v>
      </c>
      <c r="B414" s="20" t="s">
        <v>109</v>
      </c>
      <c r="C414" s="21">
        <v>92.3</v>
      </c>
      <c r="D414" s="21">
        <v>92.1</v>
      </c>
      <c r="E414" s="21">
        <v>442.1</v>
      </c>
      <c r="F414" s="21">
        <v>9.8000000000000007</v>
      </c>
      <c r="G414" s="21">
        <v>22.8</v>
      </c>
      <c r="H414" s="21" t="s">
        <v>110</v>
      </c>
      <c r="I414" s="21"/>
      <c r="J414" s="21"/>
      <c r="K414" s="18"/>
    </row>
    <row r="415" spans="1:11">
      <c r="A415" s="2" t="s">
        <v>106</v>
      </c>
      <c r="B415" s="20" t="s">
        <v>99</v>
      </c>
      <c r="C415" s="21">
        <v>93.7</v>
      </c>
      <c r="D415" s="21">
        <v>231.1</v>
      </c>
      <c r="E415" s="21">
        <v>715.1</v>
      </c>
      <c r="F415" s="21">
        <v>8.4</v>
      </c>
      <c r="G415" s="21">
        <v>26.4</v>
      </c>
      <c r="H415" s="21" t="s">
        <v>97</v>
      </c>
      <c r="I415" s="21"/>
      <c r="J415" s="21"/>
      <c r="K415" s="18"/>
    </row>
    <row r="416" spans="1:11">
      <c r="A416" s="2" t="s">
        <v>106</v>
      </c>
      <c r="B416" s="20" t="s">
        <v>104</v>
      </c>
      <c r="C416" s="21">
        <v>93.6</v>
      </c>
      <c r="D416" s="21">
        <v>235.1</v>
      </c>
      <c r="E416" s="21">
        <v>723.1</v>
      </c>
      <c r="F416" s="21">
        <v>10.1</v>
      </c>
      <c r="G416" s="21">
        <v>24.1</v>
      </c>
      <c r="H416" s="21" t="s">
        <v>158</v>
      </c>
      <c r="I416" s="21"/>
      <c r="J416" s="21"/>
      <c r="K416" s="18"/>
    </row>
    <row r="417" spans="1:11">
      <c r="A417" s="2" t="s">
        <v>106</v>
      </c>
      <c r="B417" s="20" t="s">
        <v>155</v>
      </c>
      <c r="C417" s="21">
        <v>94.8</v>
      </c>
      <c r="D417" s="21">
        <v>222.4</v>
      </c>
      <c r="E417" s="21">
        <v>698.6</v>
      </c>
      <c r="F417" s="21">
        <v>13.9</v>
      </c>
      <c r="G417" s="21">
        <v>27.5</v>
      </c>
      <c r="H417" s="21" t="s">
        <v>110</v>
      </c>
      <c r="I417" s="21"/>
      <c r="J417" s="21"/>
      <c r="K417" s="18"/>
    </row>
    <row r="418" spans="1:11">
      <c r="A418" s="2" t="s">
        <v>146</v>
      </c>
      <c r="B418" s="20" t="s">
        <v>95</v>
      </c>
      <c r="C418" s="21">
        <v>92.7</v>
      </c>
      <c r="D418" s="21">
        <v>164.1</v>
      </c>
      <c r="E418" s="21">
        <v>575.79999999999995</v>
      </c>
      <c r="F418" s="21">
        <v>8.9</v>
      </c>
      <c r="G418" s="21">
        <v>26.3</v>
      </c>
      <c r="H418" s="21" t="s">
        <v>141</v>
      </c>
      <c r="I418" s="21"/>
      <c r="J418" s="21"/>
      <c r="K418" s="18"/>
    </row>
    <row r="419" spans="1:11">
      <c r="A419" s="2" t="s">
        <v>90</v>
      </c>
      <c r="B419" s="20" t="s">
        <v>124</v>
      </c>
      <c r="C419" s="21">
        <v>93.4</v>
      </c>
      <c r="D419" s="21">
        <v>17.3</v>
      </c>
      <c r="E419" s="21">
        <v>28.3</v>
      </c>
      <c r="F419" s="21">
        <v>9.9</v>
      </c>
      <c r="G419" s="21">
        <v>13.8</v>
      </c>
      <c r="H419" s="21" t="s">
        <v>140</v>
      </c>
      <c r="I419" s="21"/>
      <c r="J419" s="21"/>
      <c r="K419" s="18"/>
    </row>
    <row r="420" spans="1:11">
      <c r="A420" s="2" t="s">
        <v>106</v>
      </c>
      <c r="B420" s="20" t="s">
        <v>104</v>
      </c>
      <c r="C420" s="21" t="s">
        <v>208</v>
      </c>
      <c r="D420" s="21">
        <v>203.2</v>
      </c>
      <c r="E420" s="21">
        <v>664.5</v>
      </c>
      <c r="F420" s="21">
        <v>8.1</v>
      </c>
      <c r="G420" s="21">
        <v>24.9</v>
      </c>
      <c r="H420" s="21" t="s">
        <v>123</v>
      </c>
      <c r="I420" s="21"/>
      <c r="J420" s="21"/>
      <c r="K420" s="18"/>
    </row>
    <row r="421" spans="1:11">
      <c r="A421" s="2" t="s">
        <v>106</v>
      </c>
      <c r="B421" s="20" t="s">
        <v>104</v>
      </c>
      <c r="C421" s="21">
        <v>91.6</v>
      </c>
      <c r="D421" s="21">
        <v>181.3</v>
      </c>
      <c r="E421" s="21" t="s">
        <v>215</v>
      </c>
      <c r="F421" s="21">
        <v>7.6</v>
      </c>
      <c r="G421" s="21">
        <v>24.8</v>
      </c>
      <c r="H421" s="21" t="s">
        <v>152</v>
      </c>
      <c r="I421" s="21"/>
      <c r="J421" s="21"/>
      <c r="K421" s="18"/>
    </row>
    <row r="422" spans="1:11">
      <c r="A422" s="2" t="s">
        <v>106</v>
      </c>
      <c r="B422" s="20" t="s">
        <v>124</v>
      </c>
      <c r="C422" s="21">
        <v>91.7</v>
      </c>
      <c r="D422" s="21">
        <v>191.4</v>
      </c>
      <c r="E422" s="21">
        <v>635.9</v>
      </c>
      <c r="F422" s="21">
        <v>7.8</v>
      </c>
      <c r="G422" s="21">
        <v>26.2</v>
      </c>
      <c r="H422" s="21" t="s">
        <v>152</v>
      </c>
      <c r="I422" s="21"/>
      <c r="J422" s="21"/>
      <c r="K422" s="18"/>
    </row>
    <row r="423" spans="1:11">
      <c r="A423" s="2" t="s">
        <v>106</v>
      </c>
      <c r="B423" s="20" t="s">
        <v>124</v>
      </c>
      <c r="C423" s="21">
        <v>95.2</v>
      </c>
      <c r="D423" s="21">
        <v>217.7</v>
      </c>
      <c r="E423" s="21" t="s">
        <v>214</v>
      </c>
      <c r="F423" s="21" t="s">
        <v>96</v>
      </c>
      <c r="G423" s="21">
        <v>30.8</v>
      </c>
      <c r="H423" s="21" t="s">
        <v>137</v>
      </c>
      <c r="I423" s="21"/>
      <c r="J423" s="21"/>
      <c r="K423" s="18"/>
    </row>
    <row r="424" spans="1:11">
      <c r="A424" s="2" t="s">
        <v>146</v>
      </c>
      <c r="B424" s="20" t="s">
        <v>104</v>
      </c>
      <c r="C424" s="21">
        <v>88.9</v>
      </c>
      <c r="D424" s="21">
        <v>263.10000000000002</v>
      </c>
      <c r="E424" s="21">
        <v>795.9</v>
      </c>
      <c r="F424" s="21">
        <v>5.2</v>
      </c>
      <c r="G424" s="21">
        <v>29.3</v>
      </c>
      <c r="H424" s="21" t="s">
        <v>110</v>
      </c>
      <c r="I424" s="21"/>
      <c r="J424" s="21"/>
      <c r="K424" s="18"/>
    </row>
    <row r="425" spans="1:11">
      <c r="A425" s="2" t="s">
        <v>113</v>
      </c>
      <c r="B425" s="20" t="s">
        <v>99</v>
      </c>
      <c r="C425" s="21">
        <v>91.2</v>
      </c>
      <c r="D425" s="21">
        <v>94.3</v>
      </c>
      <c r="E425" s="21">
        <v>744.4</v>
      </c>
      <c r="F425" s="21">
        <v>8.4</v>
      </c>
      <c r="G425" s="21">
        <v>22.3</v>
      </c>
      <c r="H425" s="21" t="s">
        <v>139</v>
      </c>
      <c r="I425" s="21"/>
      <c r="J425" s="21"/>
      <c r="K425" s="18"/>
    </row>
    <row r="426" spans="1:11">
      <c r="A426" s="2" t="s">
        <v>106</v>
      </c>
      <c r="B426" s="20" t="s">
        <v>99</v>
      </c>
      <c r="C426" s="21">
        <v>93.7</v>
      </c>
      <c r="D426" s="21">
        <v>231.1</v>
      </c>
      <c r="E426" s="21">
        <v>715.1</v>
      </c>
      <c r="F426" s="21">
        <v>8.4</v>
      </c>
      <c r="G426" s="21">
        <v>26.9</v>
      </c>
      <c r="H426" s="21" t="s">
        <v>163</v>
      </c>
      <c r="I426" s="21"/>
      <c r="J426" s="21"/>
      <c r="K426" s="18"/>
    </row>
    <row r="427" spans="1:11">
      <c r="A427" s="2" t="s">
        <v>106</v>
      </c>
      <c r="B427" s="20" t="s">
        <v>155</v>
      </c>
      <c r="C427" s="21">
        <v>91.6</v>
      </c>
      <c r="D427" s="21">
        <v>248.4</v>
      </c>
      <c r="E427" s="21">
        <v>753.8</v>
      </c>
      <c r="F427" s="21">
        <v>6.3</v>
      </c>
      <c r="G427" s="21">
        <v>20.399999999999999</v>
      </c>
      <c r="H427" s="21" t="s">
        <v>177</v>
      </c>
      <c r="I427" s="21"/>
      <c r="J427" s="21"/>
      <c r="K427" s="18"/>
    </row>
    <row r="428" spans="1:11">
      <c r="A428" s="2" t="s">
        <v>106</v>
      </c>
      <c r="B428" s="20" t="s">
        <v>155</v>
      </c>
      <c r="C428" s="21">
        <v>91.6</v>
      </c>
      <c r="D428" s="21">
        <v>248.4</v>
      </c>
      <c r="E428" s="21">
        <v>753.8</v>
      </c>
      <c r="F428" s="21">
        <v>6.3</v>
      </c>
      <c r="G428" s="21">
        <v>20.399999999999999</v>
      </c>
      <c r="H428" s="21" t="s">
        <v>177</v>
      </c>
      <c r="I428" s="21"/>
      <c r="J428" s="21"/>
      <c r="K428" s="18"/>
    </row>
    <row r="429" spans="1:11">
      <c r="A429" s="2" t="s">
        <v>106</v>
      </c>
      <c r="B429" s="20" t="s">
        <v>109</v>
      </c>
      <c r="C429" s="21">
        <v>92.1</v>
      </c>
      <c r="D429" s="21" t="s">
        <v>210</v>
      </c>
      <c r="E429" s="21">
        <v>672.6</v>
      </c>
      <c r="F429" s="21">
        <v>8.1999999999999993</v>
      </c>
      <c r="G429" s="21">
        <v>27.9</v>
      </c>
      <c r="H429" s="21" t="s">
        <v>97</v>
      </c>
      <c r="I429" s="21"/>
      <c r="J429" s="21"/>
      <c r="K429" s="18"/>
    </row>
    <row r="430" spans="1:11">
      <c r="A430" s="2" t="s">
        <v>106</v>
      </c>
      <c r="B430" s="20" t="s">
        <v>155</v>
      </c>
      <c r="C430" s="21">
        <v>94.8</v>
      </c>
      <c r="D430" s="21">
        <v>222.4</v>
      </c>
      <c r="E430" s="21">
        <v>698.6</v>
      </c>
      <c r="F430" s="21">
        <v>13.9</v>
      </c>
      <c r="G430" s="21">
        <v>26.2</v>
      </c>
      <c r="H430" s="21" t="s">
        <v>138</v>
      </c>
      <c r="I430" s="21"/>
      <c r="J430" s="21"/>
      <c r="K430" s="18"/>
    </row>
    <row r="431" spans="1:11">
      <c r="A431" s="2" t="s">
        <v>106</v>
      </c>
      <c r="B431" s="20" t="s">
        <v>104</v>
      </c>
      <c r="C431" s="21">
        <v>91.6</v>
      </c>
      <c r="D431" s="21">
        <v>181.3</v>
      </c>
      <c r="E431" s="21" t="s">
        <v>215</v>
      </c>
      <c r="F431" s="21">
        <v>7.6</v>
      </c>
      <c r="G431" s="21">
        <v>24.6</v>
      </c>
      <c r="H431" s="21" t="s">
        <v>126</v>
      </c>
      <c r="I431" s="21"/>
      <c r="J431" s="21"/>
      <c r="K431" s="18"/>
    </row>
    <row r="432" spans="1:11">
      <c r="A432" s="2" t="s">
        <v>113</v>
      </c>
      <c r="B432" s="20" t="s">
        <v>155</v>
      </c>
      <c r="C432" s="21">
        <v>89.7</v>
      </c>
      <c r="D432" s="21">
        <v>287.2</v>
      </c>
      <c r="E432" s="21">
        <v>849.3</v>
      </c>
      <c r="F432" s="21">
        <v>6.8</v>
      </c>
      <c r="G432" s="21">
        <v>19.399999999999999</v>
      </c>
      <c r="H432" s="21" t="s">
        <v>157</v>
      </c>
      <c r="I432" s="21"/>
      <c r="J432" s="21"/>
      <c r="K432" s="18"/>
    </row>
    <row r="433" spans="1:11">
      <c r="A433" s="2" t="s">
        <v>106</v>
      </c>
      <c r="B433" s="20" t="s">
        <v>99</v>
      </c>
      <c r="C433" s="21">
        <v>92.1</v>
      </c>
      <c r="D433" s="21" t="s">
        <v>220</v>
      </c>
      <c r="E433" s="21">
        <v>605.29999999999995</v>
      </c>
      <c r="F433" s="21">
        <v>9.6</v>
      </c>
      <c r="G433" s="21">
        <v>23.3</v>
      </c>
      <c r="H433" s="21" t="s">
        <v>117</v>
      </c>
      <c r="I433" s="21"/>
      <c r="J433" s="21"/>
      <c r="K433" s="18"/>
    </row>
    <row r="434" spans="1:11">
      <c r="A434" s="2" t="s">
        <v>106</v>
      </c>
      <c r="B434" s="20" t="s">
        <v>155</v>
      </c>
      <c r="C434" s="21">
        <v>94.8</v>
      </c>
      <c r="D434" s="21">
        <v>222.4</v>
      </c>
      <c r="E434" s="21">
        <v>698.6</v>
      </c>
      <c r="F434" s="21">
        <v>13.9</v>
      </c>
      <c r="G434" s="21">
        <v>23.9</v>
      </c>
      <c r="H434" s="21" t="s">
        <v>119</v>
      </c>
      <c r="I434" s="21"/>
      <c r="J434" s="21"/>
      <c r="K434" s="18"/>
    </row>
    <row r="435" spans="1:11">
      <c r="A435" s="2" t="s">
        <v>106</v>
      </c>
      <c r="B435" s="20" t="s">
        <v>104</v>
      </c>
      <c r="C435" s="21">
        <v>93.6</v>
      </c>
      <c r="D435" s="21">
        <v>235.1</v>
      </c>
      <c r="E435" s="21">
        <v>723.1</v>
      </c>
      <c r="F435" s="21">
        <v>10.1</v>
      </c>
      <c r="G435" s="21">
        <v>20.9</v>
      </c>
      <c r="H435" s="21" t="s">
        <v>169</v>
      </c>
      <c r="I435" s="21"/>
      <c r="J435" s="21"/>
      <c r="K435" s="18"/>
    </row>
    <row r="436" spans="1:11">
      <c r="A436" s="2" t="s">
        <v>106</v>
      </c>
      <c r="B436" s="20" t="s">
        <v>91</v>
      </c>
      <c r="C436" s="21">
        <v>90.6</v>
      </c>
      <c r="D436" s="21">
        <v>269.8</v>
      </c>
      <c r="E436" s="21">
        <v>811.2</v>
      </c>
      <c r="F436" s="21">
        <v>5.5</v>
      </c>
      <c r="G436" s="21">
        <v>22.2</v>
      </c>
      <c r="H436" s="21" t="s">
        <v>157</v>
      </c>
      <c r="I436" s="21"/>
      <c r="J436" s="21"/>
      <c r="K436" s="18"/>
    </row>
    <row r="437" spans="1:11">
      <c r="A437" s="2" t="s">
        <v>146</v>
      </c>
      <c r="B437" s="20" t="s">
        <v>99</v>
      </c>
      <c r="C437" s="21">
        <v>90.8</v>
      </c>
      <c r="D437" s="21">
        <v>84.7</v>
      </c>
      <c r="E437" s="21">
        <v>376.6</v>
      </c>
      <c r="F437" s="21">
        <v>5.6</v>
      </c>
      <c r="G437" s="21">
        <v>23.8</v>
      </c>
      <c r="H437" s="21" t="s">
        <v>92</v>
      </c>
      <c r="I437" s="21"/>
      <c r="J437" s="21"/>
      <c r="K437" s="18"/>
    </row>
    <row r="438" spans="1:11">
      <c r="A438" s="2" t="s">
        <v>106</v>
      </c>
      <c r="B438" s="20" t="s">
        <v>109</v>
      </c>
      <c r="C438" s="21">
        <v>92.1</v>
      </c>
      <c r="D438" s="21" t="s">
        <v>210</v>
      </c>
      <c r="E438" s="21">
        <v>672.6</v>
      </c>
      <c r="F438" s="21">
        <v>8.1999999999999993</v>
      </c>
      <c r="G438" s="21">
        <v>26.8</v>
      </c>
      <c r="H438" s="21" t="s">
        <v>129</v>
      </c>
      <c r="I438" s="21"/>
      <c r="J438" s="21"/>
      <c r="K438" s="18"/>
    </row>
    <row r="439" spans="1:11">
      <c r="A439" s="2" t="s">
        <v>106</v>
      </c>
      <c r="B439" s="20" t="s">
        <v>99</v>
      </c>
      <c r="C439" s="21">
        <v>89.4</v>
      </c>
      <c r="D439" s="21">
        <v>253.6</v>
      </c>
      <c r="E439" s="21">
        <v>768.4</v>
      </c>
      <c r="F439" s="21">
        <v>9.6999999999999993</v>
      </c>
      <c r="G439" s="21">
        <v>14.2</v>
      </c>
      <c r="H439" s="21" t="s">
        <v>188</v>
      </c>
      <c r="I439" s="21"/>
      <c r="J439" s="21"/>
      <c r="K439" s="18"/>
    </row>
    <row r="440" spans="1:11">
      <c r="A440" s="2" t="s">
        <v>106</v>
      </c>
      <c r="B440" s="20" t="s">
        <v>99</v>
      </c>
      <c r="C440" s="21">
        <v>93.7</v>
      </c>
      <c r="D440" s="21">
        <v>231.1</v>
      </c>
      <c r="E440" s="21">
        <v>715.1</v>
      </c>
      <c r="F440" s="21">
        <v>8.4</v>
      </c>
      <c r="G440" s="21">
        <v>23.6</v>
      </c>
      <c r="H440" s="21" t="s">
        <v>181</v>
      </c>
      <c r="I440" s="21"/>
      <c r="J440" s="21"/>
      <c r="K440" s="18"/>
    </row>
    <row r="441" spans="1:11">
      <c r="A441" s="2" t="s">
        <v>113</v>
      </c>
      <c r="B441" s="20" t="s">
        <v>91</v>
      </c>
      <c r="C441" s="21">
        <v>91.1</v>
      </c>
      <c r="D441" s="21">
        <v>91.3</v>
      </c>
      <c r="E441" s="21">
        <v>738.1</v>
      </c>
      <c r="F441" s="21">
        <v>7.2</v>
      </c>
      <c r="G441" s="21">
        <v>19.100000000000001</v>
      </c>
      <c r="H441" s="21" t="s">
        <v>154</v>
      </c>
      <c r="I441" s="21"/>
      <c r="J441" s="21"/>
      <c r="K441" s="18"/>
    </row>
    <row r="442" spans="1:11">
      <c r="A442" s="2" t="s">
        <v>113</v>
      </c>
      <c r="B442" s="20" t="s">
        <v>91</v>
      </c>
      <c r="C442" s="21">
        <v>90.3</v>
      </c>
      <c r="D442" s="21" t="s">
        <v>209</v>
      </c>
      <c r="E442" s="21">
        <v>855.3</v>
      </c>
      <c r="F442" s="21">
        <v>7.4</v>
      </c>
      <c r="G442" s="21">
        <v>16.2</v>
      </c>
      <c r="H442" s="21" t="s">
        <v>180</v>
      </c>
      <c r="I442" s="21"/>
      <c r="J442" s="21"/>
      <c r="K442" s="18"/>
    </row>
    <row r="443" spans="1:11">
      <c r="A443" s="2" t="s">
        <v>106</v>
      </c>
      <c r="B443" s="20" t="s">
        <v>109</v>
      </c>
      <c r="C443" s="21">
        <v>92.1</v>
      </c>
      <c r="D443" s="21" t="s">
        <v>210</v>
      </c>
      <c r="E443" s="21">
        <v>672.6</v>
      </c>
      <c r="F443" s="21">
        <v>8.1999999999999993</v>
      </c>
      <c r="G443" s="21">
        <v>25.5</v>
      </c>
      <c r="H443" s="21" t="s">
        <v>108</v>
      </c>
      <c r="I443" s="21"/>
      <c r="J443" s="21"/>
      <c r="K443" s="18"/>
    </row>
    <row r="444" spans="1:11">
      <c r="A444" s="2" t="s">
        <v>130</v>
      </c>
      <c r="B444" s="20" t="s">
        <v>109</v>
      </c>
      <c r="C444" s="21">
        <v>87.9</v>
      </c>
      <c r="D444" s="21">
        <v>24.9</v>
      </c>
      <c r="E444" s="21">
        <v>41.6</v>
      </c>
      <c r="F444" s="21">
        <v>3.7</v>
      </c>
      <c r="G444" s="21">
        <v>10.9</v>
      </c>
      <c r="H444" s="21" t="s">
        <v>172</v>
      </c>
      <c r="I444" s="21"/>
      <c r="J444" s="21"/>
      <c r="K444" s="18"/>
    </row>
    <row r="445" spans="1:11">
      <c r="A445" s="2" t="s">
        <v>146</v>
      </c>
      <c r="B445" s="20" t="s">
        <v>91</v>
      </c>
      <c r="C445" s="21">
        <v>90.7</v>
      </c>
      <c r="D445" s="21">
        <v>80.900000000000006</v>
      </c>
      <c r="E445" s="21">
        <v>368.3</v>
      </c>
      <c r="F445" s="21">
        <v>16.8</v>
      </c>
      <c r="G445" s="21">
        <v>14.8</v>
      </c>
      <c r="H445" s="21" t="s">
        <v>142</v>
      </c>
      <c r="I445" s="21"/>
      <c r="J445" s="21"/>
      <c r="K445" s="18"/>
    </row>
    <row r="446" spans="1:11">
      <c r="A446" s="2" t="s">
        <v>113</v>
      </c>
      <c r="B446" s="20" t="s">
        <v>91</v>
      </c>
      <c r="C446" s="21">
        <v>90.3</v>
      </c>
      <c r="D446" s="21" t="s">
        <v>209</v>
      </c>
      <c r="E446" s="21">
        <v>855.3</v>
      </c>
      <c r="F446" s="21">
        <v>7.4</v>
      </c>
      <c r="G446" s="21">
        <v>16.2</v>
      </c>
      <c r="H446" s="21" t="s">
        <v>180</v>
      </c>
      <c r="I446" s="21"/>
      <c r="J446" s="21"/>
      <c r="K446" s="18"/>
    </row>
    <row r="447" spans="1:11">
      <c r="A447" s="2" t="s">
        <v>106</v>
      </c>
      <c r="B447" s="20" t="s">
        <v>104</v>
      </c>
      <c r="C447" s="21" t="s">
        <v>203</v>
      </c>
      <c r="D447" s="21">
        <v>47.9</v>
      </c>
      <c r="E447" s="21">
        <v>100.7</v>
      </c>
      <c r="F447" s="21">
        <v>10.7</v>
      </c>
      <c r="G447" s="21">
        <v>17.3</v>
      </c>
      <c r="H447" s="21" t="s">
        <v>221</v>
      </c>
      <c r="I447" s="21"/>
      <c r="J447" s="21"/>
      <c r="K447" s="18"/>
    </row>
    <row r="448" spans="1:11">
      <c r="A448" s="2" t="s">
        <v>106</v>
      </c>
      <c r="B448" s="20" t="s">
        <v>104</v>
      </c>
      <c r="C448" s="21" t="s">
        <v>208</v>
      </c>
      <c r="D448" s="21">
        <v>203.2</v>
      </c>
      <c r="E448" s="21">
        <v>664.5</v>
      </c>
      <c r="F448" s="21">
        <v>8.1</v>
      </c>
      <c r="G448" s="21">
        <v>19.100000000000001</v>
      </c>
      <c r="H448" s="21" t="s">
        <v>149</v>
      </c>
      <c r="I448" s="21"/>
      <c r="J448" s="21"/>
      <c r="K448" s="18"/>
    </row>
    <row r="449" spans="1:11">
      <c r="A449" s="2" t="s">
        <v>90</v>
      </c>
      <c r="B449" s="20" t="s">
        <v>124</v>
      </c>
      <c r="C449" s="21">
        <v>93.4</v>
      </c>
      <c r="D449" s="21">
        <v>17.3</v>
      </c>
      <c r="E449" s="21">
        <v>28.3</v>
      </c>
      <c r="F449" s="21">
        <v>9.9</v>
      </c>
      <c r="G449" s="21">
        <v>8.9</v>
      </c>
      <c r="H449" s="21" t="s">
        <v>129</v>
      </c>
      <c r="I449" s="21"/>
      <c r="J449" s="21"/>
      <c r="K449" s="18"/>
    </row>
    <row r="450" spans="1:11">
      <c r="A450" s="2" t="s">
        <v>113</v>
      </c>
      <c r="B450" s="20" t="s">
        <v>124</v>
      </c>
      <c r="C450" s="21">
        <v>89.7</v>
      </c>
      <c r="D450" s="21">
        <v>284.89999999999998</v>
      </c>
      <c r="E450" s="21" t="s">
        <v>222</v>
      </c>
      <c r="F450" s="21">
        <v>10.1</v>
      </c>
      <c r="G450" s="21">
        <v>10.5</v>
      </c>
      <c r="H450" s="21" t="s">
        <v>193</v>
      </c>
      <c r="I450" s="21"/>
      <c r="J450" s="21"/>
      <c r="K450" s="18"/>
    </row>
    <row r="451" spans="1:11">
      <c r="A451" s="2" t="s">
        <v>106</v>
      </c>
      <c r="B451" s="20" t="s">
        <v>104</v>
      </c>
      <c r="C451" s="21">
        <v>91.6</v>
      </c>
      <c r="D451" s="21">
        <v>181.3</v>
      </c>
      <c r="E451" s="21" t="s">
        <v>215</v>
      </c>
      <c r="F451" s="21">
        <v>7.6</v>
      </c>
      <c r="G451" s="21">
        <v>19.3</v>
      </c>
      <c r="H451" s="21" t="s">
        <v>198</v>
      </c>
      <c r="I451" s="21"/>
      <c r="J451" s="21"/>
      <c r="K451" s="18"/>
    </row>
    <row r="452" spans="1:11">
      <c r="A452" s="2" t="s">
        <v>106</v>
      </c>
      <c r="B452" s="20" t="s">
        <v>124</v>
      </c>
      <c r="C452" s="21">
        <v>95.2</v>
      </c>
      <c r="D452" s="21">
        <v>217.7</v>
      </c>
      <c r="E452" s="21" t="s">
        <v>214</v>
      </c>
      <c r="F452" s="21" t="s">
        <v>96</v>
      </c>
      <c r="G452" s="21">
        <v>23.4</v>
      </c>
      <c r="H452" s="21" t="s">
        <v>178</v>
      </c>
      <c r="I452" s="21"/>
      <c r="J452" s="21"/>
      <c r="K452" s="18"/>
    </row>
    <row r="453" spans="1:11">
      <c r="A453" s="2" t="s">
        <v>106</v>
      </c>
      <c r="B453" s="20" t="s">
        <v>91</v>
      </c>
      <c r="C453" s="21">
        <v>90.5</v>
      </c>
      <c r="D453" s="21">
        <v>196.8</v>
      </c>
      <c r="E453" s="21">
        <v>649.9</v>
      </c>
      <c r="F453" s="21">
        <v>16.3</v>
      </c>
      <c r="G453" s="21">
        <v>11.8</v>
      </c>
      <c r="H453" s="21" t="s">
        <v>116</v>
      </c>
      <c r="I453" s="21"/>
      <c r="J453" s="21"/>
      <c r="K453" s="18"/>
    </row>
    <row r="454" spans="1:11">
      <c r="A454" s="2" t="s">
        <v>106</v>
      </c>
      <c r="B454" s="20" t="s">
        <v>109</v>
      </c>
      <c r="C454" s="21">
        <v>91.5</v>
      </c>
      <c r="D454" s="21">
        <v>238.2</v>
      </c>
      <c r="E454" s="21">
        <v>730.6</v>
      </c>
      <c r="F454" s="21">
        <v>7.5</v>
      </c>
      <c r="G454" s="21">
        <v>17.7</v>
      </c>
      <c r="H454" s="21" t="s">
        <v>223</v>
      </c>
      <c r="I454" s="21"/>
      <c r="J454" s="21"/>
      <c r="K454" s="18"/>
    </row>
    <row r="455" spans="1:11">
      <c r="A455" s="2" t="s">
        <v>106</v>
      </c>
      <c r="B455" s="20" t="s">
        <v>155</v>
      </c>
      <c r="C455" s="21">
        <v>89.4</v>
      </c>
      <c r="D455" s="21">
        <v>266.2</v>
      </c>
      <c r="E455" s="21">
        <v>803.3</v>
      </c>
      <c r="F455" s="21">
        <v>5.6</v>
      </c>
      <c r="G455" s="21">
        <v>17.399999999999999</v>
      </c>
      <c r="H455" s="21" t="s">
        <v>147</v>
      </c>
      <c r="I455" s="21"/>
      <c r="J455" s="21"/>
      <c r="K455" s="18"/>
    </row>
    <row r="456" spans="1:11">
      <c r="A456" s="2" t="s">
        <v>106</v>
      </c>
      <c r="B456" s="20" t="s">
        <v>155</v>
      </c>
      <c r="C456" s="21">
        <v>91.6</v>
      </c>
      <c r="D456" s="21">
        <v>248.4</v>
      </c>
      <c r="E456" s="21">
        <v>753.8</v>
      </c>
      <c r="F456" s="21">
        <v>6.3</v>
      </c>
      <c r="G456" s="21">
        <v>16.8</v>
      </c>
      <c r="H456" s="21" t="s">
        <v>177</v>
      </c>
      <c r="I456" s="21"/>
      <c r="J456" s="21"/>
      <c r="K456" s="18"/>
    </row>
    <row r="457" spans="1:11">
      <c r="A457" s="2" t="s">
        <v>146</v>
      </c>
      <c r="B457" s="20" t="s">
        <v>109</v>
      </c>
      <c r="C457" s="21">
        <v>94.6</v>
      </c>
      <c r="D457" s="21" t="s">
        <v>224</v>
      </c>
      <c r="E457" s="21">
        <v>567.20000000000005</v>
      </c>
      <c r="F457" s="21">
        <v>16.7</v>
      </c>
      <c r="G457" s="21">
        <v>17.899999999999999</v>
      </c>
      <c r="H457" s="21" t="s">
        <v>139</v>
      </c>
      <c r="I457" s="21"/>
      <c r="J457" s="21"/>
      <c r="K457" s="18"/>
    </row>
    <row r="458" spans="1:11">
      <c r="A458" s="2" t="s">
        <v>106</v>
      </c>
      <c r="B458" s="20" t="s">
        <v>155</v>
      </c>
      <c r="C458" s="21">
        <v>91.6</v>
      </c>
      <c r="D458" s="21">
        <v>248.4</v>
      </c>
      <c r="E458" s="21">
        <v>753.8</v>
      </c>
      <c r="F458" s="21">
        <v>6.3</v>
      </c>
      <c r="G458" s="21">
        <v>16.600000000000001</v>
      </c>
      <c r="H458" s="21" t="s">
        <v>161</v>
      </c>
      <c r="I458" s="21"/>
      <c r="J458" s="21"/>
      <c r="K458" s="18"/>
    </row>
    <row r="459" spans="1:11">
      <c r="A459" s="2" t="s">
        <v>106</v>
      </c>
      <c r="B459" s="20" t="s">
        <v>124</v>
      </c>
      <c r="C459" s="21">
        <v>91.7</v>
      </c>
      <c r="D459" s="21">
        <v>191.4</v>
      </c>
      <c r="E459" s="21">
        <v>635.9</v>
      </c>
      <c r="F459" s="21">
        <v>7.8</v>
      </c>
      <c r="G459" s="21">
        <v>19.899999999999999</v>
      </c>
      <c r="H459" s="21" t="s">
        <v>158</v>
      </c>
      <c r="I459" s="21"/>
      <c r="J459" s="21"/>
      <c r="K459" s="18"/>
    </row>
    <row r="460" spans="1:11">
      <c r="A460" s="2" t="s">
        <v>106</v>
      </c>
      <c r="B460" s="20" t="s">
        <v>99</v>
      </c>
      <c r="C460" s="21">
        <v>93.7</v>
      </c>
      <c r="D460" s="21">
        <v>231.1</v>
      </c>
      <c r="E460" s="21">
        <v>715.1</v>
      </c>
      <c r="F460" s="21">
        <v>8.4</v>
      </c>
      <c r="G460" s="21">
        <v>18.899999999999999</v>
      </c>
      <c r="H460" s="21" t="s">
        <v>172</v>
      </c>
      <c r="I460" s="21"/>
      <c r="J460" s="21"/>
      <c r="K460" s="18"/>
    </row>
    <row r="461" spans="1:11">
      <c r="A461" s="2" t="s">
        <v>106</v>
      </c>
      <c r="B461" s="20" t="s">
        <v>99</v>
      </c>
      <c r="C461" s="21">
        <v>91.6</v>
      </c>
      <c r="D461" s="21">
        <v>273.8</v>
      </c>
      <c r="E461" s="21">
        <v>819.1</v>
      </c>
      <c r="F461" s="21">
        <v>7.7</v>
      </c>
      <c r="G461" s="21">
        <v>15.5</v>
      </c>
      <c r="H461" s="21" t="s">
        <v>121</v>
      </c>
      <c r="I461" s="21"/>
      <c r="J461" s="21"/>
      <c r="K461" s="18"/>
    </row>
    <row r="462" spans="1:11">
      <c r="A462" s="2" t="s">
        <v>106</v>
      </c>
      <c r="B462" s="20" t="s">
        <v>99</v>
      </c>
      <c r="C462" s="21">
        <v>93.7</v>
      </c>
      <c r="D462" s="21">
        <v>231.1</v>
      </c>
      <c r="E462" s="21">
        <v>715.1</v>
      </c>
      <c r="F462" s="21">
        <v>8.4</v>
      </c>
      <c r="G462" s="21">
        <v>18.899999999999999</v>
      </c>
      <c r="H462" s="21" t="s">
        <v>172</v>
      </c>
      <c r="I462" s="21"/>
      <c r="J462" s="21"/>
      <c r="K462" s="18"/>
    </row>
    <row r="463" spans="1:11">
      <c r="A463" s="2" t="s">
        <v>106</v>
      </c>
      <c r="B463" s="20" t="s">
        <v>99</v>
      </c>
      <c r="C463" s="21">
        <v>93.7</v>
      </c>
      <c r="D463" s="21">
        <v>231.1</v>
      </c>
      <c r="E463" s="21">
        <v>715.1</v>
      </c>
      <c r="F463" s="21">
        <v>8.4</v>
      </c>
      <c r="G463" s="21">
        <v>18.899999999999999</v>
      </c>
      <c r="H463" s="21" t="s">
        <v>172</v>
      </c>
      <c r="I463" s="21"/>
      <c r="J463" s="21"/>
      <c r="K463" s="18"/>
    </row>
    <row r="464" spans="1:11">
      <c r="A464" s="2" t="s">
        <v>113</v>
      </c>
      <c r="B464" s="20" t="s">
        <v>104</v>
      </c>
      <c r="C464" s="21" t="s">
        <v>114</v>
      </c>
      <c r="D464" s="21">
        <v>276.3</v>
      </c>
      <c r="E464" s="21">
        <v>825.1</v>
      </c>
      <c r="F464" s="21">
        <v>7.1</v>
      </c>
      <c r="G464" s="21">
        <v>14.5</v>
      </c>
      <c r="H464" s="21" t="s">
        <v>225</v>
      </c>
      <c r="I464" s="21"/>
      <c r="J464" s="21"/>
      <c r="K464" s="18"/>
    </row>
    <row r="465" spans="1:11">
      <c r="A465" s="2" t="s">
        <v>159</v>
      </c>
      <c r="B465" s="20" t="s">
        <v>95</v>
      </c>
      <c r="C465" s="21">
        <v>75.099999999999994</v>
      </c>
      <c r="D465" s="21">
        <v>4.4000000000000004</v>
      </c>
      <c r="E465" s="21">
        <v>16.2</v>
      </c>
      <c r="F465" s="21">
        <v>1.9</v>
      </c>
      <c r="G465" s="21">
        <v>4.5999999999999996</v>
      </c>
      <c r="H465" s="21" t="s">
        <v>226</v>
      </c>
      <c r="I465" s="21"/>
      <c r="J465" s="21"/>
      <c r="K465" s="18"/>
    </row>
    <row r="466" spans="1:11">
      <c r="A466" s="2" t="s">
        <v>159</v>
      </c>
      <c r="B466" s="20" t="s">
        <v>95</v>
      </c>
      <c r="C466" s="21">
        <v>75.099999999999994</v>
      </c>
      <c r="D466" s="21">
        <v>4.4000000000000004</v>
      </c>
      <c r="E466" s="21">
        <v>16.2</v>
      </c>
      <c r="F466" s="21">
        <v>1.9</v>
      </c>
      <c r="G466" s="21">
        <v>5.0999999999999996</v>
      </c>
      <c r="H466" s="21" t="s">
        <v>193</v>
      </c>
      <c r="I466" s="21"/>
      <c r="J466" s="21"/>
      <c r="K466" s="18"/>
    </row>
    <row r="467" spans="1:11">
      <c r="A467" s="2" t="s">
        <v>159</v>
      </c>
      <c r="B467" s="20" t="s">
        <v>99</v>
      </c>
      <c r="C467" s="21">
        <v>79.5</v>
      </c>
      <c r="D467" s="21">
        <v>3.6</v>
      </c>
      <c r="E467" s="21">
        <v>15.3</v>
      </c>
      <c r="F467" s="21">
        <v>1.8</v>
      </c>
      <c r="G467" s="21">
        <v>4.5999999999999996</v>
      </c>
      <c r="H467" s="21" t="s">
        <v>161</v>
      </c>
      <c r="I467" s="21"/>
      <c r="J467" s="21"/>
      <c r="K467" s="18"/>
    </row>
    <row r="468" spans="1:11">
      <c r="A468" s="2" t="s">
        <v>90</v>
      </c>
      <c r="B468" s="20" t="s">
        <v>109</v>
      </c>
      <c r="C468" s="21">
        <v>87.2</v>
      </c>
      <c r="D468" s="21">
        <v>15.1</v>
      </c>
      <c r="E468" s="21">
        <v>36.9</v>
      </c>
      <c r="F468" s="21">
        <v>7.1</v>
      </c>
      <c r="G468" s="21">
        <v>10.199999999999999</v>
      </c>
      <c r="H468" s="21" t="s">
        <v>157</v>
      </c>
      <c r="I468" s="21"/>
      <c r="J468" s="21"/>
      <c r="K468" s="18"/>
    </row>
    <row r="469" spans="1:11">
      <c r="A469" s="2" t="s">
        <v>90</v>
      </c>
      <c r="B469" s="20" t="s">
        <v>124</v>
      </c>
      <c r="C469" s="21">
        <v>90.2</v>
      </c>
      <c r="D469" s="21">
        <v>18.5</v>
      </c>
      <c r="E469" s="21">
        <v>41.1</v>
      </c>
      <c r="F469" s="21">
        <v>7.3</v>
      </c>
      <c r="G469" s="21">
        <v>11.2</v>
      </c>
      <c r="H469" s="21" t="s">
        <v>183</v>
      </c>
      <c r="I469" s="21"/>
      <c r="J469" s="21"/>
      <c r="K469" s="18"/>
    </row>
    <row r="470" spans="1:11">
      <c r="A470" s="2" t="s">
        <v>90</v>
      </c>
      <c r="B470" s="20" t="s">
        <v>155</v>
      </c>
      <c r="C470" s="21">
        <v>91.3</v>
      </c>
      <c r="D470" s="21">
        <v>20.6</v>
      </c>
      <c r="E470" s="21">
        <v>43.5</v>
      </c>
      <c r="F470" s="21">
        <v>8.5</v>
      </c>
      <c r="G470" s="21">
        <v>13.3</v>
      </c>
      <c r="H470" s="21" t="s">
        <v>110</v>
      </c>
      <c r="I470" s="21"/>
      <c r="J470" s="21"/>
      <c r="K470" s="18"/>
    </row>
    <row r="471" spans="1:11">
      <c r="A471" s="2" t="s">
        <v>130</v>
      </c>
      <c r="B471" s="20" t="s">
        <v>104</v>
      </c>
      <c r="C471" s="21" t="s">
        <v>114</v>
      </c>
      <c r="D471" s="21">
        <v>14.6</v>
      </c>
      <c r="E471" s="21">
        <v>25.6</v>
      </c>
      <c r="F471" s="21">
        <v>12.3</v>
      </c>
      <c r="G471" s="21">
        <v>13.7</v>
      </c>
      <c r="H471" s="21" t="s">
        <v>97</v>
      </c>
      <c r="I471" s="21"/>
      <c r="J471" s="21"/>
      <c r="K471" s="18"/>
    </row>
    <row r="472" spans="1:11">
      <c r="A472" s="2" t="s">
        <v>130</v>
      </c>
      <c r="B472" s="20" t="s">
        <v>104</v>
      </c>
      <c r="C472" s="21" t="s">
        <v>114</v>
      </c>
      <c r="D472" s="21">
        <v>14.6</v>
      </c>
      <c r="E472" s="21">
        <v>25.6</v>
      </c>
      <c r="F472" s="21">
        <v>12.3</v>
      </c>
      <c r="G472" s="21">
        <v>17.600000000000001</v>
      </c>
      <c r="H472" s="21" t="s">
        <v>110</v>
      </c>
      <c r="I472" s="21"/>
      <c r="J472" s="21"/>
      <c r="K472" s="18"/>
    </row>
    <row r="473" spans="1:11">
      <c r="A473" s="2" t="s">
        <v>202</v>
      </c>
      <c r="B473" s="20" t="s">
        <v>91</v>
      </c>
      <c r="C473" s="21">
        <v>89.6</v>
      </c>
      <c r="D473" s="21">
        <v>25.4</v>
      </c>
      <c r="E473" s="21">
        <v>73.7</v>
      </c>
      <c r="F473" s="21">
        <v>5.7</v>
      </c>
      <c r="G473" s="21" t="s">
        <v>96</v>
      </c>
      <c r="H473" s="21" t="s">
        <v>117</v>
      </c>
      <c r="I473" s="21"/>
      <c r="J473" s="21"/>
      <c r="K473" s="18"/>
    </row>
    <row r="474" spans="1:11">
      <c r="A474" s="2" t="s">
        <v>131</v>
      </c>
      <c r="B474" s="20" t="s">
        <v>109</v>
      </c>
      <c r="C474" s="21">
        <v>88.2</v>
      </c>
      <c r="D474" s="21">
        <v>96.2</v>
      </c>
      <c r="E474" s="21" t="s">
        <v>227</v>
      </c>
      <c r="F474" s="21">
        <v>4.7</v>
      </c>
      <c r="G474" s="21">
        <v>14.3</v>
      </c>
      <c r="H474" s="21" t="s">
        <v>167</v>
      </c>
      <c r="I474" s="21"/>
      <c r="J474" s="21"/>
      <c r="K474" s="18"/>
    </row>
    <row r="475" spans="1:11">
      <c r="A475" s="2" t="s">
        <v>131</v>
      </c>
      <c r="B475" s="20" t="s">
        <v>99</v>
      </c>
      <c r="C475" s="21">
        <v>90.5</v>
      </c>
      <c r="D475" s="21">
        <v>61.1</v>
      </c>
      <c r="E475" s="21">
        <v>252.6</v>
      </c>
      <c r="F475" s="21">
        <v>9.4</v>
      </c>
      <c r="G475" s="21">
        <v>24.5</v>
      </c>
      <c r="H475" s="21" t="s">
        <v>158</v>
      </c>
      <c r="I475" s="21"/>
      <c r="J475" s="21"/>
      <c r="K475" s="18"/>
    </row>
    <row r="476" spans="1:11">
      <c r="A476" s="2" t="s">
        <v>131</v>
      </c>
      <c r="B476" s="20" t="s">
        <v>155</v>
      </c>
      <c r="C476" s="21" t="s">
        <v>162</v>
      </c>
      <c r="D476" s="21">
        <v>103.8</v>
      </c>
      <c r="E476" s="21">
        <v>316.7</v>
      </c>
      <c r="F476" s="21">
        <v>10.8</v>
      </c>
      <c r="G476" s="21">
        <v>26.4</v>
      </c>
      <c r="H476" s="21" t="s">
        <v>129</v>
      </c>
      <c r="I476" s="21"/>
      <c r="J476" s="21"/>
      <c r="K476" s="18"/>
    </row>
    <row r="477" spans="1:11">
      <c r="A477" s="2" t="s">
        <v>131</v>
      </c>
      <c r="B477" s="20" t="s">
        <v>155</v>
      </c>
      <c r="C477" s="21">
        <v>93.7</v>
      </c>
      <c r="D477" s="21">
        <v>121.7</v>
      </c>
      <c r="E477" s="21">
        <v>350.2</v>
      </c>
      <c r="F477" s="21" t="s">
        <v>96</v>
      </c>
      <c r="G477" s="21">
        <v>22.7</v>
      </c>
      <c r="H477" s="21" t="s">
        <v>117</v>
      </c>
      <c r="I477" s="21"/>
      <c r="J477" s="21"/>
      <c r="K477" s="18"/>
    </row>
    <row r="478" spans="1:11">
      <c r="A478" s="2" t="s">
        <v>146</v>
      </c>
      <c r="B478" s="20" t="s">
        <v>155</v>
      </c>
      <c r="C478" s="21">
        <v>93.5</v>
      </c>
      <c r="D478" s="21">
        <v>85.3</v>
      </c>
      <c r="E478" s="21" t="s">
        <v>228</v>
      </c>
      <c r="F478" s="21">
        <v>9.9</v>
      </c>
      <c r="G478" s="21">
        <v>27.2</v>
      </c>
      <c r="H478" s="21" t="s">
        <v>182</v>
      </c>
      <c r="I478" s="21"/>
      <c r="J478" s="21"/>
      <c r="K478" s="18"/>
    </row>
    <row r="479" spans="1:11">
      <c r="A479" s="2" t="s">
        <v>146</v>
      </c>
      <c r="B479" s="20" t="s">
        <v>104</v>
      </c>
      <c r="C479" s="21">
        <v>93.7</v>
      </c>
      <c r="D479" s="21">
        <v>101.3</v>
      </c>
      <c r="E479" s="21">
        <v>423.4</v>
      </c>
      <c r="F479" s="21">
        <v>14.7</v>
      </c>
      <c r="G479" s="21">
        <v>26.1</v>
      </c>
      <c r="H479" s="21" t="s">
        <v>157</v>
      </c>
      <c r="I479" s="21"/>
      <c r="J479" s="21"/>
      <c r="K479" s="18"/>
    </row>
    <row r="480" spans="1:11">
      <c r="A480" s="2" t="s">
        <v>146</v>
      </c>
      <c r="B480" s="20" t="s">
        <v>104</v>
      </c>
      <c r="C480" s="21">
        <v>93.7</v>
      </c>
      <c r="D480" s="21">
        <v>101.3</v>
      </c>
      <c r="E480" s="21">
        <v>423.4</v>
      </c>
      <c r="F480" s="21">
        <v>14.7</v>
      </c>
      <c r="G480" s="21">
        <v>18.2</v>
      </c>
      <c r="H480" s="21" t="s">
        <v>226</v>
      </c>
      <c r="I480" s="21"/>
      <c r="J480" s="21"/>
      <c r="K480" s="18"/>
    </row>
    <row r="481" spans="1:11">
      <c r="A481" s="2" t="s">
        <v>146</v>
      </c>
      <c r="B481" s="20" t="s">
        <v>109</v>
      </c>
      <c r="C481" s="21">
        <v>89.2</v>
      </c>
      <c r="D481" s="21">
        <v>103.9</v>
      </c>
      <c r="E481" s="21">
        <v>431.6</v>
      </c>
      <c r="F481" s="21">
        <v>6.4</v>
      </c>
      <c r="G481" s="21">
        <v>22.6</v>
      </c>
      <c r="H481" s="21" t="s">
        <v>189</v>
      </c>
      <c r="I481" s="21"/>
      <c r="J481" s="21"/>
      <c r="K481" s="18"/>
    </row>
    <row r="482" spans="1:11">
      <c r="A482" s="2" t="s">
        <v>146</v>
      </c>
      <c r="B482" s="20" t="s">
        <v>155</v>
      </c>
      <c r="C482" s="21">
        <v>93.2</v>
      </c>
      <c r="D482" s="21">
        <v>114.4</v>
      </c>
      <c r="E482" s="21" t="s">
        <v>229</v>
      </c>
      <c r="F482" s="21">
        <v>9.5</v>
      </c>
      <c r="G482" s="21">
        <v>30.2</v>
      </c>
      <c r="H482" s="21" t="s">
        <v>165</v>
      </c>
      <c r="I482" s="21"/>
      <c r="J482" s="21"/>
      <c r="K482" s="18"/>
    </row>
    <row r="483" spans="1:11">
      <c r="A483" s="2" t="s">
        <v>146</v>
      </c>
      <c r="B483" s="20" t="s">
        <v>155</v>
      </c>
      <c r="C483" s="21">
        <v>93.2</v>
      </c>
      <c r="D483" s="21">
        <v>114.4</v>
      </c>
      <c r="E483" s="21" t="s">
        <v>229</v>
      </c>
      <c r="F483" s="21">
        <v>9.5</v>
      </c>
      <c r="G483" s="21">
        <v>30.2</v>
      </c>
      <c r="H483" s="21" t="s">
        <v>171</v>
      </c>
      <c r="I483" s="21"/>
      <c r="J483" s="21"/>
      <c r="K483" s="18"/>
    </row>
    <row r="484" spans="1:11">
      <c r="A484" s="2" t="s">
        <v>106</v>
      </c>
      <c r="B484" s="20" t="s">
        <v>104</v>
      </c>
      <c r="C484" s="21">
        <v>94.9</v>
      </c>
      <c r="D484" s="21">
        <v>130.30000000000001</v>
      </c>
      <c r="E484" s="21">
        <v>587.1</v>
      </c>
      <c r="F484" s="21">
        <v>14.1</v>
      </c>
      <c r="G484" s="21">
        <v>23.4</v>
      </c>
      <c r="H484" s="21" t="s">
        <v>117</v>
      </c>
      <c r="I484" s="21"/>
      <c r="J484" s="21"/>
      <c r="K484" s="18"/>
    </row>
    <row r="485" spans="1:11">
      <c r="A485" s="2" t="s">
        <v>106</v>
      </c>
      <c r="B485" s="20" t="s">
        <v>104</v>
      </c>
      <c r="C485" s="21">
        <v>94.9</v>
      </c>
      <c r="D485" s="21">
        <v>130.30000000000001</v>
      </c>
      <c r="E485" s="21">
        <v>587.1</v>
      </c>
      <c r="F485" s="21">
        <v>14.1</v>
      </c>
      <c r="G485" s="21" t="s">
        <v>163</v>
      </c>
      <c r="H485" s="21" t="s">
        <v>110</v>
      </c>
      <c r="I485" s="21"/>
      <c r="J485" s="21"/>
      <c r="K485" s="18"/>
    </row>
    <row r="486" spans="1:11">
      <c r="A486" s="2" t="s">
        <v>106</v>
      </c>
      <c r="B486" s="20" t="s">
        <v>104</v>
      </c>
      <c r="C486" s="21">
        <v>94.9</v>
      </c>
      <c r="D486" s="21">
        <v>130.30000000000001</v>
      </c>
      <c r="E486" s="21">
        <v>587.1</v>
      </c>
      <c r="F486" s="21">
        <v>14.1</v>
      </c>
      <c r="G486" s="21">
        <v>33.1</v>
      </c>
      <c r="H486" s="21" t="s">
        <v>165</v>
      </c>
      <c r="I486" s="21"/>
      <c r="J486" s="21"/>
      <c r="K486" s="18"/>
    </row>
    <row r="487" spans="1:11">
      <c r="A487" s="2" t="s">
        <v>106</v>
      </c>
      <c r="B487" s="20" t="s">
        <v>109</v>
      </c>
      <c r="C487" s="21">
        <v>93.15</v>
      </c>
      <c r="D487" s="21">
        <v>144.80000000000001</v>
      </c>
      <c r="E487" s="21">
        <v>153.26</v>
      </c>
      <c r="F487" s="21">
        <v>7.7666666666666702</v>
      </c>
      <c r="G487" s="21">
        <v>8.1999999999999993</v>
      </c>
      <c r="H487" s="21" t="s">
        <v>92</v>
      </c>
      <c r="I487" s="21"/>
      <c r="J487" s="21"/>
      <c r="K487" s="18"/>
    </row>
    <row r="488" spans="1:11">
      <c r="A488" s="2" t="s">
        <v>106</v>
      </c>
      <c r="B488" s="20" t="s">
        <v>95</v>
      </c>
      <c r="C488" s="21">
        <v>93.724999999999994</v>
      </c>
      <c r="D488" s="21">
        <v>159.56</v>
      </c>
      <c r="E488" s="21">
        <v>95.68</v>
      </c>
      <c r="F488" s="21">
        <v>8.56666666666667</v>
      </c>
      <c r="G488" s="21" t="s">
        <v>96</v>
      </c>
      <c r="H488" s="21" t="s">
        <v>97</v>
      </c>
      <c r="I488" s="21"/>
      <c r="J488" s="21"/>
      <c r="K488" s="18"/>
    </row>
    <row r="489" spans="1:11">
      <c r="A489" s="2" t="s">
        <v>106</v>
      </c>
      <c r="B489" s="20" t="s">
        <v>95</v>
      </c>
      <c r="C489" s="21">
        <v>94.3</v>
      </c>
      <c r="D489" s="21">
        <v>174.32</v>
      </c>
      <c r="E489" s="21">
        <v>38.1</v>
      </c>
      <c r="F489" s="21">
        <v>9.3666666666666707</v>
      </c>
      <c r="G489" s="21">
        <v>25.99</v>
      </c>
      <c r="H489" s="21" t="s">
        <v>97</v>
      </c>
      <c r="I489" s="21"/>
      <c r="J489" s="21"/>
      <c r="K489" s="18"/>
    </row>
    <row r="490" spans="1:11">
      <c r="A490" s="2" t="s">
        <v>106</v>
      </c>
      <c r="B490" s="20" t="s">
        <v>95</v>
      </c>
      <c r="C490" s="21">
        <v>94.875</v>
      </c>
      <c r="D490" s="21">
        <v>189.08</v>
      </c>
      <c r="E490" s="21">
        <v>-19.48</v>
      </c>
      <c r="F490" s="21" t="s">
        <v>230</v>
      </c>
      <c r="G490" s="21">
        <v>29.28</v>
      </c>
      <c r="H490" s="21" t="s">
        <v>102</v>
      </c>
      <c r="I490" s="21"/>
      <c r="J490" s="21"/>
      <c r="K490" s="18"/>
    </row>
    <row r="491" spans="1:11">
      <c r="A491" s="2" t="s">
        <v>106</v>
      </c>
      <c r="B491" s="20" t="s">
        <v>124</v>
      </c>
      <c r="C491" s="21">
        <v>95.45</v>
      </c>
      <c r="D491" s="21">
        <v>203.84</v>
      </c>
      <c r="E491" s="21">
        <v>-77.06</v>
      </c>
      <c r="F491" s="21">
        <v>8.2972222222222207</v>
      </c>
      <c r="G491" s="21">
        <v>32.57</v>
      </c>
      <c r="H491" s="21" t="s">
        <v>105</v>
      </c>
      <c r="I491" s="21"/>
      <c r="J491" s="21"/>
      <c r="K491" s="18"/>
    </row>
    <row r="492" spans="1:11">
      <c r="A492" s="2" t="s">
        <v>106</v>
      </c>
      <c r="B492" s="20" t="s">
        <v>124</v>
      </c>
      <c r="C492" s="21">
        <v>96.025000000000006</v>
      </c>
      <c r="D492" s="21">
        <v>218.6</v>
      </c>
      <c r="E492" s="21" t="s">
        <v>231</v>
      </c>
      <c r="F492" s="21">
        <v>7.9988888888888896</v>
      </c>
      <c r="G492" s="21">
        <v>35.86</v>
      </c>
      <c r="H492" s="21" t="s">
        <v>108</v>
      </c>
      <c r="I492" s="21"/>
      <c r="J492" s="21"/>
      <c r="K492" s="18"/>
    </row>
    <row r="493" spans="1:11">
      <c r="A493" s="2" t="s">
        <v>106</v>
      </c>
      <c r="B493" s="20" t="s">
        <v>155</v>
      </c>
      <c r="C493" s="21">
        <v>96.6</v>
      </c>
      <c r="D493" s="21">
        <v>233.36</v>
      </c>
      <c r="E493" s="21">
        <v>787.64</v>
      </c>
      <c r="F493" s="21">
        <v>7.7005555555555603</v>
      </c>
      <c r="G493" s="21">
        <v>39.15</v>
      </c>
      <c r="H493" s="21" t="s">
        <v>110</v>
      </c>
      <c r="I493" s="21"/>
      <c r="J493" s="21"/>
      <c r="K493" s="18"/>
    </row>
    <row r="494" spans="1:11">
      <c r="A494" s="2" t="s">
        <v>106</v>
      </c>
      <c r="B494" s="20" t="s">
        <v>91</v>
      </c>
      <c r="C494" s="21">
        <v>97.174999999999997</v>
      </c>
      <c r="D494" s="21">
        <v>248.12</v>
      </c>
      <c r="E494" s="21">
        <v>837.28</v>
      </c>
      <c r="F494" s="21">
        <v>7.4022222222222203</v>
      </c>
      <c r="G494" s="21" t="s">
        <v>101</v>
      </c>
      <c r="H494" s="21" t="s">
        <v>112</v>
      </c>
      <c r="I494" s="21"/>
      <c r="J494" s="21"/>
      <c r="K494" s="18"/>
    </row>
    <row r="495" spans="1:11">
      <c r="A495" s="2" t="s">
        <v>106</v>
      </c>
      <c r="B495" s="20" t="s">
        <v>91</v>
      </c>
      <c r="C495" s="21" t="s">
        <v>208</v>
      </c>
      <c r="D495" s="21">
        <v>262.88</v>
      </c>
      <c r="E495" s="21">
        <v>886.92</v>
      </c>
      <c r="F495" s="21">
        <v>7.10388888888889</v>
      </c>
      <c r="G495" s="21">
        <v>21.65</v>
      </c>
      <c r="H495" s="21" t="s">
        <v>115</v>
      </c>
      <c r="I495" s="21"/>
      <c r="J495" s="21"/>
      <c r="K495" s="18"/>
    </row>
    <row r="496" spans="1:11">
      <c r="A496" s="2" t="s">
        <v>106</v>
      </c>
      <c r="B496" s="20" t="s">
        <v>99</v>
      </c>
      <c r="C496" s="21">
        <v>87.730909090909094</v>
      </c>
      <c r="D496" s="21" t="s">
        <v>116</v>
      </c>
      <c r="E496" s="21">
        <v>936.56</v>
      </c>
      <c r="F496" s="21">
        <v>6.8055555555555598</v>
      </c>
      <c r="G496" s="21">
        <v>23.01</v>
      </c>
      <c r="H496" s="21" t="s">
        <v>117</v>
      </c>
      <c r="I496" s="21"/>
      <c r="J496" s="21"/>
      <c r="K496" s="18"/>
    </row>
    <row r="497" spans="1:11">
      <c r="A497" s="2" t="s">
        <v>106</v>
      </c>
      <c r="B497" s="20" t="s">
        <v>109</v>
      </c>
      <c r="C497" s="21">
        <v>87.648181818181797</v>
      </c>
      <c r="D497" s="21" t="s">
        <v>116</v>
      </c>
      <c r="E497" s="21">
        <v>986.2</v>
      </c>
      <c r="F497" s="21">
        <v>6.5072222222222198</v>
      </c>
      <c r="G497" s="21">
        <v>24.37</v>
      </c>
      <c r="H497" s="21" t="s">
        <v>92</v>
      </c>
      <c r="I497" s="21"/>
      <c r="J497" s="21"/>
      <c r="K497" s="18"/>
    </row>
    <row r="498" spans="1:11">
      <c r="A498" s="2" t="s">
        <v>106</v>
      </c>
      <c r="B498" s="20" t="s">
        <v>109</v>
      </c>
      <c r="C498" s="21">
        <v>87.5654545454546</v>
      </c>
      <c r="D498" s="21">
        <v>75.401411290322599</v>
      </c>
      <c r="E498" s="21" t="s">
        <v>232</v>
      </c>
      <c r="F498" s="21">
        <v>6.2088888888888896</v>
      </c>
      <c r="G498" s="21">
        <v>25.73</v>
      </c>
      <c r="H498" s="21" t="s">
        <v>119</v>
      </c>
      <c r="I498" s="21"/>
      <c r="J498" s="21"/>
      <c r="K498" s="18"/>
    </row>
    <row r="499" spans="1:11">
      <c r="A499" s="2" t="s">
        <v>106</v>
      </c>
      <c r="B499" s="20" t="s">
        <v>95</v>
      </c>
      <c r="C499" s="21">
        <v>87.482727272727303</v>
      </c>
      <c r="D499" s="21">
        <v>74.671004398826994</v>
      </c>
      <c r="E499" s="21">
        <v>383.35333333333301</v>
      </c>
      <c r="F499" s="21">
        <v>5.9105555555555602</v>
      </c>
      <c r="G499" s="21" t="s">
        <v>120</v>
      </c>
      <c r="H499" s="21" t="s">
        <v>121</v>
      </c>
      <c r="I499" s="21"/>
      <c r="J499" s="21"/>
      <c r="K499" s="18"/>
    </row>
    <row r="500" spans="1:11">
      <c r="A500" s="2" t="s">
        <v>106</v>
      </c>
      <c r="B500" s="20" t="s">
        <v>95</v>
      </c>
      <c r="C500" s="21">
        <v>87.4</v>
      </c>
      <c r="D500" s="21">
        <v>73.940597507331404</v>
      </c>
      <c r="E500" s="21">
        <v>360.41575757575799</v>
      </c>
      <c r="F500" s="21" t="s">
        <v>111</v>
      </c>
      <c r="G500" s="21">
        <v>13.375</v>
      </c>
      <c r="H500" s="21" t="s">
        <v>123</v>
      </c>
      <c r="I500" s="21"/>
      <c r="J500" s="21"/>
      <c r="K500" s="18"/>
    </row>
    <row r="501" spans="1:11">
      <c r="A501" s="2" t="s">
        <v>106</v>
      </c>
      <c r="B501" s="20" t="s">
        <v>95</v>
      </c>
      <c r="C501" s="21">
        <v>87.317272727272794</v>
      </c>
      <c r="D501" s="21">
        <v>73.210190615835799</v>
      </c>
      <c r="E501" s="21">
        <v>337.47818181818201</v>
      </c>
      <c r="F501" s="21">
        <v>8.9</v>
      </c>
      <c r="G501" s="21">
        <v>12.383333333333301</v>
      </c>
      <c r="H501" s="21" t="s">
        <v>125</v>
      </c>
      <c r="I501" s="21"/>
      <c r="J501" s="21"/>
      <c r="K501" s="18"/>
    </row>
    <row r="502" spans="1:11">
      <c r="A502" s="2" t="s">
        <v>106</v>
      </c>
      <c r="B502" s="20" t="s">
        <v>95</v>
      </c>
      <c r="C502" s="21">
        <v>87.234545454545497</v>
      </c>
      <c r="D502" s="21">
        <v>72.479783724340194</v>
      </c>
      <c r="E502" s="21">
        <v>314.54060606060602</v>
      </c>
      <c r="F502" s="21">
        <v>8.1999999999999993</v>
      </c>
      <c r="G502" s="21">
        <v>11.391666666666699</v>
      </c>
      <c r="H502" s="21" t="s">
        <v>126</v>
      </c>
      <c r="I502" s="21"/>
      <c r="J502" s="21"/>
      <c r="K502" s="18"/>
    </row>
    <row r="503" spans="1:11">
      <c r="A503" s="2" t="s">
        <v>106</v>
      </c>
      <c r="B503" s="20" t="s">
        <v>95</v>
      </c>
      <c r="C503" s="21">
        <v>87.1518181818182</v>
      </c>
      <c r="D503" s="21">
        <v>71.749376832844604</v>
      </c>
      <c r="E503" s="21">
        <v>291.60303030302998</v>
      </c>
      <c r="F503" s="21">
        <v>7.5</v>
      </c>
      <c r="G503" s="21">
        <v>10.4</v>
      </c>
      <c r="H503" s="21" t="s">
        <v>110</v>
      </c>
      <c r="I503" s="21"/>
      <c r="J503" s="21"/>
      <c r="K503" s="18"/>
    </row>
    <row r="504" spans="1:11">
      <c r="A504" s="2" t="s">
        <v>106</v>
      </c>
      <c r="B504" s="20" t="s">
        <v>95</v>
      </c>
      <c r="C504" s="21">
        <v>87.069090909090903</v>
      </c>
      <c r="D504" s="21">
        <v>71.018969941348999</v>
      </c>
      <c r="E504" s="21">
        <v>268.66545454545502</v>
      </c>
      <c r="F504" s="21" t="s">
        <v>219</v>
      </c>
      <c r="G504" s="21">
        <v>9.4083333333332995</v>
      </c>
      <c r="H504" s="21" t="s">
        <v>128</v>
      </c>
      <c r="I504" s="21"/>
      <c r="J504" s="21"/>
      <c r="K504" s="18"/>
    </row>
    <row r="505" spans="1:11">
      <c r="A505" s="2" t="s">
        <v>106</v>
      </c>
      <c r="B505" s="20" t="s">
        <v>124</v>
      </c>
      <c r="C505" s="21">
        <v>86.986363636363606</v>
      </c>
      <c r="D505" s="21">
        <v>70.288563049853394</v>
      </c>
      <c r="E505" s="21">
        <v>245.72787878787901</v>
      </c>
      <c r="F505" s="21">
        <v>3.9</v>
      </c>
      <c r="G505" s="21">
        <v>8.4166666666666998</v>
      </c>
      <c r="H505" s="21" t="s">
        <v>129</v>
      </c>
      <c r="I505" s="21"/>
      <c r="J505" s="21"/>
      <c r="K505" s="18"/>
    </row>
    <row r="506" spans="1:11">
      <c r="A506" s="2" t="s">
        <v>106</v>
      </c>
      <c r="B506" s="20" t="s">
        <v>124</v>
      </c>
      <c r="C506" s="21">
        <v>86.903636363636394</v>
      </c>
      <c r="D506" s="21">
        <v>69.558156158357804</v>
      </c>
      <c r="E506" s="21">
        <v>222.79030303030299</v>
      </c>
      <c r="F506" s="21">
        <v>2.7</v>
      </c>
      <c r="G506" s="21">
        <v>7.4249999999999998</v>
      </c>
      <c r="H506" s="21" t="s">
        <v>126</v>
      </c>
      <c r="I506" s="21"/>
      <c r="J506" s="21"/>
      <c r="K506" s="18"/>
    </row>
    <row r="507" spans="1:11">
      <c r="A507" s="2" t="s">
        <v>106</v>
      </c>
      <c r="B507" s="20" t="s">
        <v>155</v>
      </c>
      <c r="C507" s="21" t="s">
        <v>208</v>
      </c>
      <c r="D507" s="21">
        <v>68.827749266862199</v>
      </c>
      <c r="E507" s="21">
        <v>199.85272727272701</v>
      </c>
      <c r="F507" s="21" t="s">
        <v>111</v>
      </c>
      <c r="G507" s="21">
        <v>6.4333333333332998</v>
      </c>
      <c r="H507" s="21" t="s">
        <v>117</v>
      </c>
      <c r="I507" s="21"/>
      <c r="J507" s="21"/>
      <c r="K507" s="18"/>
    </row>
    <row r="508" spans="1:11">
      <c r="A508" s="2" t="s">
        <v>106</v>
      </c>
      <c r="B508" s="20" t="s">
        <v>91</v>
      </c>
      <c r="C508" s="21">
        <v>90.495000000000005</v>
      </c>
      <c r="D508" s="21">
        <v>68.097342375366594</v>
      </c>
      <c r="E508" s="21">
        <v>176.91515151515199</v>
      </c>
      <c r="F508" s="21">
        <v>8.3599999999999604</v>
      </c>
      <c r="G508" s="21">
        <v>5.4416666666667002</v>
      </c>
      <c r="H508" s="21" t="s">
        <v>119</v>
      </c>
      <c r="I508" s="21"/>
      <c r="J508" s="21"/>
      <c r="K508" s="18"/>
    </row>
    <row r="509" spans="1:11">
      <c r="A509" s="2" t="s">
        <v>106</v>
      </c>
      <c r="B509" s="20" t="s">
        <v>91</v>
      </c>
      <c r="C509" s="21">
        <v>90.352500000000006</v>
      </c>
      <c r="D509" s="21">
        <v>67.366935483871003</v>
      </c>
      <c r="E509" s="21" t="s">
        <v>233</v>
      </c>
      <c r="F509" s="21">
        <v>5.2914285714285603</v>
      </c>
      <c r="G509" s="21" t="s">
        <v>125</v>
      </c>
      <c r="H509" s="21" t="s">
        <v>126</v>
      </c>
      <c r="I509" s="21"/>
      <c r="J509" s="21"/>
      <c r="K509" s="18"/>
    </row>
    <row r="510" spans="1:11">
      <c r="A510" s="2" t="s">
        <v>106</v>
      </c>
      <c r="B510" s="20" t="s">
        <v>91</v>
      </c>
      <c r="C510" s="21">
        <v>90.21</v>
      </c>
      <c r="D510" s="21">
        <v>66.636528592375399</v>
      </c>
      <c r="E510" s="21">
        <v>641.66666666666697</v>
      </c>
      <c r="F510" s="21">
        <v>2.2228571428571602</v>
      </c>
      <c r="G510" s="21">
        <v>16.633333333333301</v>
      </c>
      <c r="H510" s="21" t="s">
        <v>133</v>
      </c>
      <c r="I510" s="21"/>
      <c r="J510" s="21"/>
      <c r="K510" s="18"/>
    </row>
    <row r="511" spans="1:11">
      <c r="A511" s="2" t="s">
        <v>106</v>
      </c>
      <c r="B511" s="20" t="s">
        <v>91</v>
      </c>
      <c r="C511" s="21">
        <v>90.067499999999995</v>
      </c>
      <c r="D511" s="21">
        <v>65.906121700879794</v>
      </c>
      <c r="E511" s="21">
        <v>673.66666666666697</v>
      </c>
      <c r="F511" s="21">
        <v>-0.84571428571423701</v>
      </c>
      <c r="G511" s="21">
        <v>15.033333333333299</v>
      </c>
      <c r="H511" s="21" t="s">
        <v>134</v>
      </c>
      <c r="I511" s="21"/>
      <c r="J511" s="21"/>
      <c r="K511" s="18"/>
    </row>
    <row r="512" spans="1:11">
      <c r="A512" s="2" t="s">
        <v>106</v>
      </c>
      <c r="B512" s="20" t="s">
        <v>91</v>
      </c>
      <c r="C512" s="21">
        <v>89.924999999999997</v>
      </c>
      <c r="D512" s="21">
        <v>65.175714809384203</v>
      </c>
      <c r="E512" s="21">
        <v>705.66666666666697</v>
      </c>
      <c r="F512" s="21">
        <v>-3.91428571428564</v>
      </c>
      <c r="G512" s="21">
        <v>13.4333333333333</v>
      </c>
      <c r="H512" s="21" t="s">
        <v>135</v>
      </c>
      <c r="I512" s="21"/>
      <c r="J512" s="21"/>
      <c r="K512" s="18"/>
    </row>
    <row r="513" spans="1:11">
      <c r="A513" s="2" t="s">
        <v>106</v>
      </c>
      <c r="B513" s="20" t="s">
        <v>104</v>
      </c>
      <c r="C513" s="21">
        <v>89.782499999999999</v>
      </c>
      <c r="D513" s="21">
        <v>64.445307917888599</v>
      </c>
      <c r="E513" s="21" t="s">
        <v>234</v>
      </c>
      <c r="F513" s="21">
        <v>-6.9828571428571404</v>
      </c>
      <c r="G513" s="21" t="s">
        <v>137</v>
      </c>
      <c r="H513" s="21" t="s">
        <v>138</v>
      </c>
      <c r="I513" s="21"/>
      <c r="J513" s="21"/>
      <c r="K513" s="18"/>
    </row>
    <row r="514" spans="1:11">
      <c r="A514" s="2" t="s">
        <v>106</v>
      </c>
      <c r="B514" s="20" t="s">
        <v>104</v>
      </c>
      <c r="C514" s="21">
        <v>89.64</v>
      </c>
      <c r="D514" s="21">
        <v>63.714901026393001</v>
      </c>
      <c r="E514" s="21">
        <v>555.23806451612904</v>
      </c>
      <c r="F514" s="21" t="s">
        <v>111</v>
      </c>
      <c r="G514" s="21">
        <v>16.350526315789502</v>
      </c>
      <c r="H514" s="21" t="s">
        <v>139</v>
      </c>
      <c r="I514" s="21"/>
      <c r="J514" s="21"/>
      <c r="K514" s="18"/>
    </row>
    <row r="515" spans="1:11">
      <c r="A515" s="2" t="s">
        <v>106</v>
      </c>
      <c r="B515" s="20" t="s">
        <v>104</v>
      </c>
      <c r="C515" s="21">
        <v>89.497500000000002</v>
      </c>
      <c r="D515" s="21">
        <v>62.984494134897403</v>
      </c>
      <c r="E515" s="21">
        <v>551.58862903225804</v>
      </c>
      <c r="F515" s="21">
        <v>4.74175824175824</v>
      </c>
      <c r="G515" s="21">
        <v>16.083909774436101</v>
      </c>
      <c r="H515" s="21" t="s">
        <v>140</v>
      </c>
      <c r="I515" s="21"/>
      <c r="J515" s="21"/>
      <c r="K515" s="18"/>
    </row>
    <row r="516" spans="1:11">
      <c r="A516" s="2" t="s">
        <v>106</v>
      </c>
      <c r="B516" s="20" t="s">
        <v>104</v>
      </c>
      <c r="C516" s="21">
        <v>89.355000000000004</v>
      </c>
      <c r="D516" s="21">
        <v>62.254087243401798</v>
      </c>
      <c r="E516" s="21">
        <v>547.93919354838704</v>
      </c>
      <c r="F516" s="21">
        <v>4.3778021978022004</v>
      </c>
      <c r="G516" s="21">
        <v>15.817293233082699</v>
      </c>
      <c r="H516" s="21" t="s">
        <v>141</v>
      </c>
      <c r="I516" s="21"/>
      <c r="J516" s="21"/>
      <c r="K516" s="18"/>
    </row>
    <row r="517" spans="1:11">
      <c r="A517" s="2" t="s">
        <v>106</v>
      </c>
      <c r="B517" s="20" t="s">
        <v>99</v>
      </c>
      <c r="C517" s="21">
        <v>89.212500000000006</v>
      </c>
      <c r="D517" s="21">
        <v>61.523680351906101</v>
      </c>
      <c r="E517" s="21">
        <v>544.28975806451604</v>
      </c>
      <c r="F517" s="21">
        <v>4.0138461538461598</v>
      </c>
      <c r="G517" s="21">
        <v>15.550676691729301</v>
      </c>
      <c r="H517" s="21" t="s">
        <v>140</v>
      </c>
      <c r="I517" s="21"/>
      <c r="J517" s="21"/>
      <c r="K517" s="18"/>
    </row>
    <row r="518" spans="1:11">
      <c r="A518" s="2" t="s">
        <v>235</v>
      </c>
      <c r="B518" s="20" t="s">
        <v>95</v>
      </c>
      <c r="C518" s="21">
        <v>89.07</v>
      </c>
      <c r="D518" s="21">
        <v>60.793273460410603</v>
      </c>
      <c r="E518" s="21">
        <v>540.64032258064503</v>
      </c>
      <c r="F518" s="21">
        <v>3.64989010989011</v>
      </c>
      <c r="G518" s="21">
        <v>15.2840601503759</v>
      </c>
      <c r="H518" s="21" t="s">
        <v>142</v>
      </c>
      <c r="I518" s="21"/>
      <c r="J518" s="21"/>
      <c r="K518" s="18"/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DD0C-8EC7-5E48-B3D9-E7E2F17FC558}">
  <dimension ref="A3:L32"/>
  <sheetViews>
    <sheetView tabSelected="1" zoomScale="86" workbookViewId="0">
      <selection activeCell="J3" sqref="J3"/>
    </sheetView>
  </sheetViews>
  <sheetFormatPr baseColWidth="10" defaultRowHeight="16"/>
  <cols>
    <col min="10" max="10" width="15" bestFit="1" customWidth="1"/>
    <col min="11" max="11" width="21.5" bestFit="1" customWidth="1"/>
    <col min="12" max="12" width="17.5" bestFit="1" customWidth="1"/>
  </cols>
  <sheetData>
    <row r="3" spans="1:12" ht="17" thickBot="1"/>
    <row r="4" spans="1:12" ht="17" thickBot="1">
      <c r="B4" s="36" t="s">
        <v>365</v>
      </c>
      <c r="C4" s="45" t="s">
        <v>368</v>
      </c>
      <c r="D4" s="46"/>
      <c r="E4" s="46"/>
      <c r="F4" s="46"/>
      <c r="G4" s="46"/>
      <c r="H4" s="47"/>
      <c r="J4" s="51" t="s">
        <v>380</v>
      </c>
      <c r="K4" s="52"/>
      <c r="L4" s="53"/>
    </row>
    <row r="5" spans="1:12">
      <c r="A5" s="29" t="s">
        <v>0</v>
      </c>
      <c r="B5" s="35" t="s">
        <v>366</v>
      </c>
      <c r="C5" s="37" t="s">
        <v>6</v>
      </c>
      <c r="D5" s="38" t="s">
        <v>1</v>
      </c>
      <c r="E5" s="37" t="s">
        <v>2</v>
      </c>
      <c r="F5" s="39" t="s">
        <v>3</v>
      </c>
      <c r="G5" s="40" t="s">
        <v>4</v>
      </c>
      <c r="H5" s="39" t="s">
        <v>73</v>
      </c>
      <c r="J5" s="48" t="s">
        <v>377</v>
      </c>
      <c r="K5" s="50" t="s">
        <v>378</v>
      </c>
      <c r="L5" s="48" t="s">
        <v>379</v>
      </c>
    </row>
    <row r="6" spans="1:12" ht="20">
      <c r="A6" s="28">
        <v>20150712</v>
      </c>
      <c r="B6" s="30" t="str">
        <f>IF(C6&lt;0, "Veľmi nízke", IF(C6&lt;0.5, "Nízke", IF(C6&lt;1, "Stredné", IF(C6&lt;2, "Vysoké"))))</f>
        <v>Nízke</v>
      </c>
      <c r="C6" s="31">
        <f>E6/D6</f>
        <v>3.5625637755102101E-2</v>
      </c>
      <c r="D6" s="32">
        <v>15.68</v>
      </c>
      <c r="E6" s="33">
        <f>F6-H6</f>
        <v>0.55861000000000094</v>
      </c>
      <c r="F6" s="32">
        <f>0.17*($H$17/12)*G6</f>
        <v>1.858610000000001</v>
      </c>
      <c r="G6" s="31">
        <v>8.4100000000000037</v>
      </c>
      <c r="H6" s="34">
        <v>1.3</v>
      </c>
      <c r="J6" s="48">
        <v>21.1</v>
      </c>
      <c r="K6" s="50">
        <v>7.6</v>
      </c>
      <c r="L6" s="48">
        <v>33</v>
      </c>
    </row>
    <row r="7" spans="1:12" ht="20">
      <c r="A7" s="28">
        <v>20150713</v>
      </c>
      <c r="B7" s="30" t="str">
        <f>IF(C7&lt;0, "Veľmi nízke", IF(C7&lt;0.5, "Nízke", IF(C7&lt;1, "Stredné", IF(C7&lt;2, "Vysoké"))))</f>
        <v>Nízke</v>
      </c>
      <c r="C7" s="31">
        <f>E7/D7</f>
        <v>6.3474539069359098E-2</v>
      </c>
      <c r="D7" s="32">
        <v>25.31111111111111</v>
      </c>
      <c r="E7" s="33">
        <f>F7-H7</f>
        <v>1.6066111111111112</v>
      </c>
      <c r="F7" s="32">
        <f>0.17*($H$17/12)*G7</f>
        <v>1.7066111111111113</v>
      </c>
      <c r="G7" s="31">
        <v>7.7222222222222223</v>
      </c>
      <c r="H7" s="34">
        <v>0.1</v>
      </c>
      <c r="J7" s="49">
        <v>17.8</v>
      </c>
      <c r="K7" s="50">
        <v>8</v>
      </c>
      <c r="L7" s="48">
        <v>42</v>
      </c>
    </row>
    <row r="8" spans="1:12" ht="20">
      <c r="A8" s="28">
        <v>20150714</v>
      </c>
      <c r="B8" s="30" t="str">
        <f>IF(C8&lt;0, "Veľmi nízke", IF(C8&lt;0.5, "Nízke", IF(C8&lt;1, "Stredné", IF(C8&lt;2, "Vysoké"))))</f>
        <v>Veľmi nízke</v>
      </c>
      <c r="C8" s="31">
        <f>E8/D8</f>
        <v>-5.1817492416582414E-2</v>
      </c>
      <c r="D8" s="32">
        <v>32.966666666666669</v>
      </c>
      <c r="E8" s="33">
        <f>F8-H8</f>
        <v>-1.7082500000000003</v>
      </c>
      <c r="F8" s="32">
        <f>0.17*($H$17/12)*G8</f>
        <v>1.4917499999999999</v>
      </c>
      <c r="G8" s="31">
        <v>6.7499999999999991</v>
      </c>
      <c r="H8" s="34">
        <v>3.2</v>
      </c>
      <c r="J8" s="49">
        <v>17.8</v>
      </c>
      <c r="K8" s="50">
        <v>3.1</v>
      </c>
      <c r="L8" s="48">
        <v>83</v>
      </c>
    </row>
    <row r="9" spans="1:12" ht="20">
      <c r="A9" s="28">
        <v>20150715</v>
      </c>
      <c r="B9" s="30" t="str">
        <f>IF(C9&lt;0, "Veľmi nízke", IF(C9&lt;0.5, "Nízke", IF(C9&lt;1, "Stredné", IF(C9&lt;2, "Vysoké"))))</f>
        <v>Nízke</v>
      </c>
      <c r="C9" s="31">
        <f>E9/D9</f>
        <v>0.11254203152364295</v>
      </c>
      <c r="D9" s="32">
        <v>19.033333333333335</v>
      </c>
      <c r="E9" s="33">
        <f>F9-H9</f>
        <v>2.1420500000000042</v>
      </c>
      <c r="F9" s="32">
        <f>0.17*($H$17/12)*G9</f>
        <v>2.4420500000000041</v>
      </c>
      <c r="G9" s="31">
        <v>11.050000000000017</v>
      </c>
      <c r="H9" s="34">
        <v>0.3</v>
      </c>
      <c r="J9" s="49">
        <v>20</v>
      </c>
      <c r="K9" s="50">
        <v>5.4</v>
      </c>
      <c r="L9" s="48">
        <v>60</v>
      </c>
    </row>
    <row r="10" spans="1:12">
      <c r="A10" s="28"/>
      <c r="B10" s="30"/>
      <c r="C10" s="31"/>
      <c r="D10" s="32"/>
      <c r="E10" s="33"/>
      <c r="F10" s="32"/>
      <c r="G10" s="31"/>
      <c r="H10" s="32"/>
      <c r="J10" s="48"/>
      <c r="K10" s="50"/>
      <c r="L10" s="48"/>
    </row>
    <row r="11" spans="1:12" ht="20">
      <c r="A11" s="28">
        <v>20150604</v>
      </c>
      <c r="B11" s="30" t="str">
        <f>IF(C11&lt;0, "Veľmi nízke", IF(C11&lt;0.5, "Nízke", IF(C11&lt;1, "Stredné", IF(C11&lt;2, "Vysoké"))))</f>
        <v>Nízke</v>
      </c>
      <c r="C11" s="31">
        <f>E11/D11</f>
        <v>2.1108172774209771E-2</v>
      </c>
      <c r="D11" s="32">
        <v>88.233333333333334</v>
      </c>
      <c r="E11" s="33">
        <f>F11-H11</f>
        <v>1.8624444444444421</v>
      </c>
      <c r="F11" s="32">
        <f>0.17*($H$16/12)*G11</f>
        <v>1.8624444444444421</v>
      </c>
      <c r="G11" s="31">
        <v>8.2166666666666561</v>
      </c>
      <c r="H11" s="34">
        <v>0</v>
      </c>
      <c r="J11" s="49">
        <v>18.899999999999999</v>
      </c>
      <c r="K11" s="50">
        <v>8.9</v>
      </c>
      <c r="L11" s="48">
        <v>43</v>
      </c>
    </row>
    <row r="12" spans="1:12" ht="20">
      <c r="A12" s="28">
        <v>20150605</v>
      </c>
      <c r="B12" s="30" t="str">
        <f>IF(C12&lt;0, "Veľmi nízke", IF(C12&lt;0.5, "Nízke", IF(C12&lt;1, "Stredné", IF(C12&lt;2, "Vysoké"))))</f>
        <v>Nízke</v>
      </c>
      <c r="C12" s="31">
        <f>E12/D12</f>
        <v>6.6842825610557113E-2</v>
      </c>
      <c r="D12" s="32">
        <v>28.089111111111112</v>
      </c>
      <c r="E12" s="33">
        <f>F12-H12</f>
        <v>1.8775555555555621</v>
      </c>
      <c r="F12" s="32">
        <f>0.17*($H$16/12)*G12</f>
        <v>1.8775555555555621</v>
      </c>
      <c r="G12" s="31">
        <v>8.2833333333333616</v>
      </c>
      <c r="H12" s="34">
        <v>0</v>
      </c>
      <c r="J12" s="49">
        <v>22.2</v>
      </c>
      <c r="K12" s="50">
        <v>6.7</v>
      </c>
      <c r="L12" s="48">
        <v>33</v>
      </c>
    </row>
    <row r="13" spans="1:12" ht="20">
      <c r="A13" s="28">
        <v>20150611</v>
      </c>
      <c r="B13" s="30" t="str">
        <f>IF(C13&lt;0, "Veľmi nízke", IF(C13&lt;0.5, "Nízke", IF(C13&lt;1, "Stredné", IF(C13&lt;2, "Vysoké"))))</f>
        <v>Nízke</v>
      </c>
      <c r="C13" s="31">
        <f>E13/D13</f>
        <v>3.7716293410227267E-2</v>
      </c>
      <c r="D13" s="32">
        <v>28.044466666666668</v>
      </c>
      <c r="E13" s="33">
        <f>F13-H13</f>
        <v>1.0577333333333383</v>
      </c>
      <c r="F13" s="32">
        <f>0.17*($H$16/12)*G13</f>
        <v>1.3577333333333383</v>
      </c>
      <c r="G13" s="31">
        <v>5.9900000000000215</v>
      </c>
      <c r="H13" s="34">
        <v>0.3</v>
      </c>
      <c r="J13" s="49">
        <v>23.9</v>
      </c>
      <c r="K13" s="50">
        <v>9.4</v>
      </c>
      <c r="L13" s="48">
        <v>27</v>
      </c>
    </row>
    <row r="14" spans="1:12" ht="20">
      <c r="A14" s="28">
        <v>20150613</v>
      </c>
      <c r="B14" s="30" t="str">
        <f>IF(C14&lt;0, "Veľmi nízke", IF(C14&lt;0.5, "Nízke", IF(C14&lt;1, "Stredné", IF(C14&lt;2, "Vysoké"))))</f>
        <v>Nízke</v>
      </c>
      <c r="C14" s="31">
        <f>E14/D14</f>
        <v>4.2138449672194364E-2</v>
      </c>
      <c r="D14" s="32">
        <v>57.62222222222222</v>
      </c>
      <c r="E14" s="33">
        <f>F14-H14</f>
        <v>2.4281111111111109</v>
      </c>
      <c r="F14" s="32">
        <f>0.17*($H$16/12)*G14</f>
        <v>3.2281111111111107</v>
      </c>
      <c r="G14" s="31">
        <v>14.241666666666664</v>
      </c>
      <c r="H14" s="34">
        <v>0.8</v>
      </c>
      <c r="J14" s="49">
        <v>22.8</v>
      </c>
      <c r="K14" s="50">
        <v>8</v>
      </c>
      <c r="L14" s="48">
        <v>22</v>
      </c>
    </row>
    <row r="15" spans="1:12">
      <c r="G15" s="32" t="s">
        <v>367</v>
      </c>
      <c r="H15" s="31" t="s">
        <v>7</v>
      </c>
    </row>
    <row r="16" spans="1:12">
      <c r="G16" s="32">
        <v>6</v>
      </c>
      <c r="H16" s="31">
        <v>16</v>
      </c>
    </row>
    <row r="17" spans="7:8">
      <c r="G17" s="32">
        <v>7</v>
      </c>
      <c r="H17" s="33">
        <f>15.6</f>
        <v>15.6</v>
      </c>
    </row>
    <row r="19" spans="7:8" ht="20">
      <c r="H19" s="9"/>
    </row>
    <row r="20" spans="7:8" ht="20">
      <c r="H20" s="9"/>
    </row>
    <row r="21" spans="7:8" ht="20">
      <c r="H21" s="9"/>
    </row>
    <row r="22" spans="7:8" ht="20">
      <c r="H22" s="9"/>
    </row>
    <row r="23" spans="7:8" ht="20">
      <c r="H23" s="9"/>
    </row>
    <row r="24" spans="7:8" ht="20">
      <c r="H24" s="9"/>
    </row>
    <row r="25" spans="7:8" ht="20">
      <c r="H25" s="9"/>
    </row>
    <row r="26" spans="7:8" ht="20">
      <c r="H26" s="9"/>
    </row>
    <row r="27" spans="7:8" ht="20">
      <c r="H27" s="9"/>
    </row>
    <row r="28" spans="7:8" ht="20">
      <c r="H28" s="9"/>
    </row>
    <row r="29" spans="7:8" ht="20">
      <c r="H29" s="9"/>
    </row>
    <row r="30" spans="7:8" ht="20">
      <c r="H30" s="9"/>
    </row>
    <row r="31" spans="7:8" ht="20">
      <c r="H31" s="9"/>
    </row>
    <row r="32" spans="7:8" ht="20">
      <c r="H32" s="9"/>
    </row>
  </sheetData>
  <mergeCells count="2">
    <mergeCell ref="C4:H4"/>
    <mergeCell ref="J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4</vt:i4>
      </vt:variant>
    </vt:vector>
  </HeadingPairs>
  <TitlesOfParts>
    <vt:vector size="4" baseType="lpstr">
      <vt:lpstr>Kanada</vt:lpstr>
      <vt:lpstr>Topoľčany</vt:lpstr>
      <vt:lpstr>Portugalsko </vt:lpstr>
      <vt:lpstr>Spracovanie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Teodor Noga</dc:creator>
  <cp:keywords/>
  <dc:description/>
  <cp:lastModifiedBy>Teodor Noga</cp:lastModifiedBy>
  <cp:revision/>
  <dcterms:created xsi:type="dcterms:W3CDTF">2024-02-23T18:19:57Z</dcterms:created>
  <dcterms:modified xsi:type="dcterms:W3CDTF">2024-03-26T09:29:17Z</dcterms:modified>
  <cp:category/>
  <cp:contentStatus/>
</cp:coreProperties>
</file>